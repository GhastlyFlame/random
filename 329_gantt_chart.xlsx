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filterPrivacy="1" codeName="ThisWorkbook"/>
  <xr:revisionPtr revIDLastSave="0" documentId="8_{C1AF2C12-0CD2-426B-905C-9E8F4998BFAE}" xr6:coauthVersionLast="46" xr6:coauthVersionMax="46" xr10:uidLastSave="{00000000-0000-0000-0000-000000000000}"/>
  <bookViews>
    <workbookView xWindow="-120" yWindow="-120" windowWidth="29040" windowHeight="1584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 i="11" l="1"/>
  <c r="E9" i="11" l="1"/>
  <c r="F9" i="11" s="1"/>
  <c r="E21" i="11" l="1"/>
  <c r="F21" i="11" s="1"/>
  <c r="E22" i="11" s="1"/>
  <c r="F22" i="11" s="1"/>
  <c r="H22" i="11" s="1"/>
  <c r="E10" i="11"/>
  <c r="I5" i="11"/>
  <c r="H33" i="11"/>
  <c r="H32" i="11"/>
  <c r="H31" i="11"/>
  <c r="H30" i="11"/>
  <c r="H29" i="11"/>
  <c r="H28" i="11"/>
  <c r="H26" i="11"/>
  <c r="H20" i="11"/>
  <c r="H14" i="11"/>
  <c r="H8" i="11"/>
  <c r="H21" i="11" l="1"/>
  <c r="E23" i="11"/>
  <c r="F23" i="11" s="1"/>
  <c r="H9" i="11"/>
  <c r="F10" i="11"/>
  <c r="E11" i="11" s="1"/>
  <c r="E13" i="11"/>
  <c r="E15" i="11" s="1"/>
  <c r="E16" i="11" s="1"/>
  <c r="I6" i="11"/>
  <c r="E25" i="11" l="1"/>
  <c r="F25" i="11" s="1"/>
  <c r="H25" i="11" s="1"/>
  <c r="H27" i="11"/>
  <c r="H10" i="11"/>
  <c r="E24" i="11"/>
  <c r="H23" i="11"/>
  <c r="F16" i="11"/>
  <c r="F15" i="11"/>
  <c r="H15" i="11" s="1"/>
  <c r="F13" i="11"/>
  <c r="H13" i="11" s="1"/>
  <c r="F11" i="11"/>
  <c r="E12" i="11" s="1"/>
  <c r="J5" i="11"/>
  <c r="K5" i="11" s="1"/>
  <c r="L5" i="11" s="1"/>
  <c r="M5" i="11" s="1"/>
  <c r="N5" i="11" s="1"/>
  <c r="O5" i="11" s="1"/>
  <c r="P5" i="11" s="1"/>
  <c r="I4" i="11"/>
  <c r="F24" i="11" l="1"/>
  <c r="H24" i="11" s="1"/>
  <c r="H16" i="11"/>
  <c r="E17" i="11"/>
  <c r="E18" i="11" s="1"/>
  <c r="E19" i="11" s="1"/>
  <c r="H11" i="11"/>
  <c r="F12" i="11"/>
  <c r="H12" i="11" s="1"/>
  <c r="P4" i="11"/>
  <c r="Q5" i="11"/>
  <c r="R5" i="11" s="1"/>
  <c r="S5" i="11" s="1"/>
  <c r="T5" i="11" s="1"/>
  <c r="U5" i="11" s="1"/>
  <c r="V5" i="11" s="1"/>
  <c r="W5" i="11" s="1"/>
  <c r="J6" i="11"/>
  <c r="F19" i="11" l="1"/>
  <c r="H19" i="11" s="1"/>
  <c r="F18" i="11"/>
  <c r="H18" i="11" s="1"/>
  <c r="F17" i="11"/>
  <c r="H17" i="11" s="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<sst xmlns="http://schemas.openxmlformats.org/spreadsheetml/2006/main" count="77" uniqueCount="53">
  <si>
    <t>Task 3</t>
  </si>
  <si>
    <t>Task 4</t>
  </si>
  <si>
    <t>Task 5</t>
  </si>
  <si>
    <t>Phase 2 Title</t>
  </si>
  <si>
    <t>Task 1</t>
  </si>
  <si>
    <t>Task 2</t>
  </si>
  <si>
    <t>Insert new rows ABOVE this one</t>
  </si>
  <si>
    <t>Project Start:</t>
  </si>
  <si>
    <t>PROGRESS</t>
  </si>
  <si>
    <t>ASSIGNED
TO</t>
  </si>
  <si>
    <t>Project Management Templates</t>
  </si>
  <si>
    <t>START</t>
  </si>
  <si>
    <t>END</t>
  </si>
  <si>
    <t>DAYS</t>
  </si>
  <si>
    <t>Display Week:</t>
  </si>
  <si>
    <t>TASK</t>
  </si>
  <si>
    <t>Phase 3 Title</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</si>
  <si>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</si>
  <si>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</si>
  <si>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</si>
  <si>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</si>
  <si>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</si>
  <si>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</si>
  <si>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</si>
  <si>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</si>
  <si>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</si>
  <si>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</si>
  <si>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</si>
  <si>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Phase 4 Title</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</si>
  <si>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</si>
  <si>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</si>
  <si>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</si>
  <si>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Enter Company Name in cell B2.</t>
  </si>
  <si>
    <t>date</t>
  </si>
  <si>
    <t>Sample phase title block</t>
  </si>
  <si>
    <t>This row marks the end of the Project Schedule. DO NOT enter anything in this row. 
Insert new rows ABOVE this one to continue building out your Project Schedule.</t>
  </si>
  <si>
    <t>This is an empty row</t>
  </si>
  <si>
    <t xml:space="preserve">Do not delete this row. This row is hidden to preserve a formula that is used to highlight the curren day within the project schedule. </t>
  </si>
  <si>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</si>
  <si>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</si>
  <si>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</si>
  <si>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</si>
  <si>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</si>
  <si>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</si>
  <si>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</si>
  <si>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</si>
  <si>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</si>
  <si>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Modern Restaurant Jukebox Project</t>
  </si>
  <si>
    <t>Planning Stage</t>
  </si>
  <si>
    <t>Project Proposal</t>
  </si>
  <si>
    <t>Brandt Damman, Colton Glick, Matthew Hoskins, Nathan Tucker, Haadi Majeed</t>
  </si>
  <si>
    <t>Team</t>
  </si>
  <si>
    <t>Status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</si>
</sst>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2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s>
  <borders count="1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s>
  <cellStyleXfs count="1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4"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cellStyleXfs>
  <cellXfs count="9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8" fontId="11" fillId="7" borderId="0" xfId="0" applyNumberFormat="1" applyFont="1" applyFill="1" applyAlignment="1">
      <alignment horizontal="center" vertical="center"/>
    </xf>
    <xf numFmtId="168" fontId="11" fillId="7" borderId="6"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165" fontId="0" fillId="5" borderId="2" xfId="0" applyNumberFormat="1" applyFill="1" applyBorder="1" applyAlignment="1">
      <alignment horizontal="center" vertical="center"/>
    </xf>
    <xf numFmtId="165" fontId="5" fillId="5" borderId="2" xfId="0" applyNumberFormat="1"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15" fillId="0" borderId="0" xfId="1" applyFont="1" applyProtection="1">
      <alignment vertical="top"/>
    </xf>
    <xf numFmtId="0" fontId="0" fillId="0" borderId="0" xfId="0" applyAlignment="1">
      <alignment wrapText="1"/>
    </xf>
    <xf numFmtId="0" fontId="13" fillId="0" borderId="0" xfId="5" applyAlignment="1">
      <alignment horizontal="left"/>
    </xf>
    <xf numFmtId="0" fontId="10" fillId="0" borderId="0" xfId="6"/>
    <xf numFmtId="165" fontId="9" fillId="3" borderId="2" xfId="10" applyFill="1">
      <alignment horizontal="center" vertical="center"/>
    </xf>
    <xf numFmtId="165" fontId="9" fillId="4" borderId="2" xfId="10" applyFill="1">
      <alignment horizontal="center" vertical="center"/>
    </xf>
    <xf numFmtId="165" fontId="9" fillId="11" borderId="2" xfId="10" applyFill="1">
      <alignment horizontal="center" vertical="center"/>
    </xf>
    <xf numFmtId="165" fontId="9" fillId="10" borderId="2" xfId="10" applyFill="1">
      <alignment horizontal="center" vertical="center"/>
    </xf>
    <xf numFmtId="165" fontId="9" fillId="0" borderId="2" xfId="10">
      <alignment horizontal="center" vertical="center"/>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9" fillId="0" borderId="0" xfId="8">
      <alignment horizontal="right" indent="1"/>
    </xf>
    <xf numFmtId="0" fontId="9" fillId="0" borderId="7" xfId="8" applyBorder="1">
      <alignment horizontal="right" indent="1"/>
    </xf>
    <xf numFmtId="0" fontId="0" fillId="0" borderId="10" xfId="0" applyBorder="1"/>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66" fontId="9" fillId="0" borderId="3" xfId="9">
      <alignment horizontal="center" vertical="center"/>
    </xf>
    <xf numFmtId="0" fontId="10" fillId="0" borderId="0" xfId="7" applyAlignment="1">
      <alignment vertical="top"/>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605A96"/>
      <color rgb="FF604996"/>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zoomScaleNormal="100" zoomScalePageLayoutView="70" workbookViewId="0">
      <pane ySplit="6" topLeftCell="A7" activePane="bottomLeft" state="frozen"/>
      <selection pane="bottomLeft" activeCell="B11" sqref="B11"/>
    </sheetView>
  </sheetViews>
  <sheetFormatPr defaultRowHeight="30" customHeight="1" x14ac:dyDescent="0.25"/>
  <cols>
    <col min="1" max="1" width="2.7109375" style="58"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64" width="2.5703125" customWidth="1"/>
    <col min="69" max="70" width="10.28515625"/>
  </cols>
  <sheetData>
    <row r="1" spans="1:64" ht="30" customHeight="1" x14ac:dyDescent="0.45">
      <c r="A1" s="59" t="s">
        <v>38</v>
      </c>
      <c r="B1" s="63" t="s">
        <v>47</v>
      </c>
      <c r="C1" s="1"/>
      <c r="D1" s="2"/>
      <c r="E1" s="4"/>
      <c r="F1" s="47"/>
      <c r="H1" s="2"/>
      <c r="I1" s="14"/>
    </row>
    <row r="2" spans="1:64" ht="30" customHeight="1" x14ac:dyDescent="0.3">
      <c r="A2" s="58" t="s">
        <v>32</v>
      </c>
      <c r="B2" s="64" t="s">
        <v>50</v>
      </c>
      <c r="I2" s="61"/>
    </row>
    <row r="3" spans="1:64" ht="30" customHeight="1" x14ac:dyDescent="0.25">
      <c r="A3" s="58" t="s">
        <v>39</v>
      </c>
      <c r="B3" s="91"/>
      <c r="C3" s="84" t="s">
        <v>7</v>
      </c>
      <c r="D3" s="85"/>
      <c r="E3" s="90">
        <v>44252</v>
      </c>
      <c r="F3" s="90"/>
    </row>
    <row r="4" spans="1:64" ht="30" customHeight="1" x14ac:dyDescent="0.25">
      <c r="A4" s="59" t="s">
        <v>40</v>
      </c>
      <c r="C4" s="84" t="s">
        <v>14</v>
      </c>
      <c r="D4" s="85"/>
      <c r="E4" s="7">
        <v>1</v>
      </c>
      <c r="I4" s="87">
        <f>I5</f>
        <v>44249</v>
      </c>
      <c r="J4" s="88"/>
      <c r="K4" s="88"/>
      <c r="L4" s="88"/>
      <c r="M4" s="88"/>
      <c r="N4" s="88"/>
      <c r="O4" s="89"/>
      <c r="P4" s="87">
        <f>P5</f>
        <v>44256</v>
      </c>
      <c r="Q4" s="88"/>
      <c r="R4" s="88"/>
      <c r="S4" s="88"/>
      <c r="T4" s="88"/>
      <c r="U4" s="88"/>
      <c r="V4" s="89"/>
      <c r="W4" s="87">
        <f>W5</f>
        <v>44263</v>
      </c>
      <c r="X4" s="88"/>
      <c r="Y4" s="88"/>
      <c r="Z4" s="88"/>
      <c r="AA4" s="88"/>
      <c r="AB4" s="88"/>
      <c r="AC4" s="89"/>
      <c r="AD4" s="87">
        <f>AD5</f>
        <v>44270</v>
      </c>
      <c r="AE4" s="88"/>
      <c r="AF4" s="88"/>
      <c r="AG4" s="88"/>
      <c r="AH4" s="88"/>
      <c r="AI4" s="88"/>
      <c r="AJ4" s="89"/>
      <c r="AK4" s="87">
        <f>AK5</f>
        <v>44277</v>
      </c>
      <c r="AL4" s="88"/>
      <c r="AM4" s="88"/>
      <c r="AN4" s="88"/>
      <c r="AO4" s="88"/>
      <c r="AP4" s="88"/>
      <c r="AQ4" s="89"/>
      <c r="AR4" s="87">
        <f>AR5</f>
        <v>44284</v>
      </c>
      <c r="AS4" s="88"/>
      <c r="AT4" s="88"/>
      <c r="AU4" s="88"/>
      <c r="AV4" s="88"/>
      <c r="AW4" s="88"/>
      <c r="AX4" s="89"/>
      <c r="AY4" s="87">
        <f>AY5</f>
        <v>44291</v>
      </c>
      <c r="AZ4" s="88"/>
      <c r="BA4" s="88"/>
      <c r="BB4" s="88"/>
      <c r="BC4" s="88"/>
      <c r="BD4" s="88"/>
      <c r="BE4" s="89"/>
      <c r="BF4" s="87">
        <f>BF5</f>
        <v>44298</v>
      </c>
      <c r="BG4" s="88"/>
      <c r="BH4" s="88"/>
      <c r="BI4" s="88"/>
      <c r="BJ4" s="88"/>
      <c r="BK4" s="88"/>
      <c r="BL4" s="89"/>
    </row>
    <row r="5" spans="1:64" ht="15" customHeight="1" x14ac:dyDescent="0.25">
      <c r="A5" s="59" t="s">
        <v>41</v>
      </c>
      <c r="B5" s="86"/>
      <c r="C5" s="86"/>
      <c r="D5" s="86"/>
      <c r="E5" s="86"/>
      <c r="F5" s="86"/>
      <c r="G5" s="86"/>
      <c r="I5" s="11">
        <f>Project_Start-WEEKDAY(Project_Start,1)+2+7*(Display_Week-1)</f>
        <v>44249</v>
      </c>
      <c r="J5" s="10">
        <f>I5+1</f>
        <v>44250</v>
      </c>
      <c r="K5" s="10">
        <f t="shared" ref="K5:AX5" si="0">J5+1</f>
        <v>44251</v>
      </c>
      <c r="L5" s="10">
        <f t="shared" si="0"/>
        <v>44252</v>
      </c>
      <c r="M5" s="10">
        <f t="shared" si="0"/>
        <v>44253</v>
      </c>
      <c r="N5" s="10">
        <f t="shared" si="0"/>
        <v>44254</v>
      </c>
      <c r="O5" s="12">
        <f t="shared" si="0"/>
        <v>44255</v>
      </c>
      <c r="P5" s="11">
        <f>O5+1</f>
        <v>44256</v>
      </c>
      <c r="Q5" s="10">
        <f>P5+1</f>
        <v>44257</v>
      </c>
      <c r="R5" s="10">
        <f t="shared" si="0"/>
        <v>44258</v>
      </c>
      <c r="S5" s="10">
        <f t="shared" si="0"/>
        <v>44259</v>
      </c>
      <c r="T5" s="10">
        <f t="shared" si="0"/>
        <v>44260</v>
      </c>
      <c r="U5" s="10">
        <f t="shared" si="0"/>
        <v>44261</v>
      </c>
      <c r="V5" s="12">
        <f t="shared" si="0"/>
        <v>44262</v>
      </c>
      <c r="W5" s="11">
        <f>V5+1</f>
        <v>44263</v>
      </c>
      <c r="X5" s="10">
        <f>W5+1</f>
        <v>44264</v>
      </c>
      <c r="Y5" s="10">
        <f t="shared" si="0"/>
        <v>44265</v>
      </c>
      <c r="Z5" s="10">
        <f t="shared" si="0"/>
        <v>44266</v>
      </c>
      <c r="AA5" s="10">
        <f t="shared" si="0"/>
        <v>44267</v>
      </c>
      <c r="AB5" s="10">
        <f t="shared" si="0"/>
        <v>44268</v>
      </c>
      <c r="AC5" s="12">
        <f t="shared" si="0"/>
        <v>44269</v>
      </c>
      <c r="AD5" s="11">
        <f>AC5+1</f>
        <v>44270</v>
      </c>
      <c r="AE5" s="10">
        <f>AD5+1</f>
        <v>44271</v>
      </c>
      <c r="AF5" s="10">
        <f t="shared" si="0"/>
        <v>44272</v>
      </c>
      <c r="AG5" s="10">
        <f t="shared" si="0"/>
        <v>44273</v>
      </c>
      <c r="AH5" s="10">
        <f t="shared" si="0"/>
        <v>44274</v>
      </c>
      <c r="AI5" s="10">
        <f t="shared" si="0"/>
        <v>44275</v>
      </c>
      <c r="AJ5" s="12">
        <f t="shared" si="0"/>
        <v>44276</v>
      </c>
      <c r="AK5" s="11">
        <f>AJ5+1</f>
        <v>44277</v>
      </c>
      <c r="AL5" s="10">
        <f>AK5+1</f>
        <v>44278</v>
      </c>
      <c r="AM5" s="10">
        <f t="shared" si="0"/>
        <v>44279</v>
      </c>
      <c r="AN5" s="10">
        <f t="shared" si="0"/>
        <v>44280</v>
      </c>
      <c r="AO5" s="10">
        <f t="shared" si="0"/>
        <v>44281</v>
      </c>
      <c r="AP5" s="10">
        <f t="shared" si="0"/>
        <v>44282</v>
      </c>
      <c r="AQ5" s="12">
        <f t="shared" si="0"/>
        <v>44283</v>
      </c>
      <c r="AR5" s="11">
        <f>AQ5+1</f>
        <v>44284</v>
      </c>
      <c r="AS5" s="10">
        <f>AR5+1</f>
        <v>44285</v>
      </c>
      <c r="AT5" s="10">
        <f t="shared" si="0"/>
        <v>44286</v>
      </c>
      <c r="AU5" s="10">
        <f t="shared" si="0"/>
        <v>44287</v>
      </c>
      <c r="AV5" s="10">
        <f t="shared" si="0"/>
        <v>44288</v>
      </c>
      <c r="AW5" s="10">
        <f t="shared" si="0"/>
        <v>44289</v>
      </c>
      <c r="AX5" s="12">
        <f t="shared" si="0"/>
        <v>44290</v>
      </c>
      <c r="AY5" s="11">
        <f>AX5+1</f>
        <v>44291</v>
      </c>
      <c r="AZ5" s="10">
        <f>AY5+1</f>
        <v>44292</v>
      </c>
      <c r="BA5" s="10">
        <f t="shared" ref="BA5:BE5" si="1">AZ5+1</f>
        <v>44293</v>
      </c>
      <c r="BB5" s="10">
        <f t="shared" si="1"/>
        <v>44294</v>
      </c>
      <c r="BC5" s="10">
        <f t="shared" si="1"/>
        <v>44295</v>
      </c>
      <c r="BD5" s="10">
        <f t="shared" si="1"/>
        <v>44296</v>
      </c>
      <c r="BE5" s="12">
        <f t="shared" si="1"/>
        <v>44297</v>
      </c>
      <c r="BF5" s="11">
        <f>BE5+1</f>
        <v>44298</v>
      </c>
      <c r="BG5" s="10">
        <f>BF5+1</f>
        <v>44299</v>
      </c>
      <c r="BH5" s="10">
        <f t="shared" ref="BH5:BL5" si="2">BG5+1</f>
        <v>44300</v>
      </c>
      <c r="BI5" s="10">
        <f t="shared" si="2"/>
        <v>44301</v>
      </c>
      <c r="BJ5" s="10">
        <f t="shared" si="2"/>
        <v>44302</v>
      </c>
      <c r="BK5" s="10">
        <f t="shared" si="2"/>
        <v>44303</v>
      </c>
      <c r="BL5" s="12">
        <f t="shared" si="2"/>
        <v>44304</v>
      </c>
    </row>
    <row r="6" spans="1:64" ht="30" customHeight="1" thickBot="1" x14ac:dyDescent="0.3">
      <c r="A6" s="59" t="s">
        <v>42</v>
      </c>
      <c r="B6" s="8" t="s">
        <v>15</v>
      </c>
      <c r="C6" s="9" t="s">
        <v>9</v>
      </c>
      <c r="D6" s="9" t="s">
        <v>8</v>
      </c>
      <c r="E6" s="9" t="s">
        <v>11</v>
      </c>
      <c r="F6" s="9" t="s">
        <v>12</v>
      </c>
      <c r="G6" s="9"/>
      <c r="H6" s="9" t="s">
        <v>13</v>
      </c>
      <c r="I6" s="13" t="str">
        <f t="shared" ref="I6" si="3">LEFT(TEXT(I5,"ddd"),1)</f>
        <v>M</v>
      </c>
      <c r="J6" s="13" t="str">
        <f t="shared" ref="J6:AR6" si="4">LEFT(TEXT(J5,"ddd"),1)</f>
        <v>T</v>
      </c>
      <c r="K6" s="13" t="str">
        <f t="shared" si="4"/>
        <v>W</v>
      </c>
      <c r="L6" s="13" t="str">
        <f t="shared" si="4"/>
        <v>T</v>
      </c>
      <c r="M6" s="13" t="str">
        <f t="shared" si="4"/>
        <v>F</v>
      </c>
      <c r="N6" s="13" t="str">
        <f t="shared" si="4"/>
        <v>S</v>
      </c>
      <c r="O6" s="13" t="str">
        <f t="shared" si="4"/>
        <v>S</v>
      </c>
      <c r="P6" s="13" t="str">
        <f t="shared" si="4"/>
        <v>M</v>
      </c>
      <c r="Q6" s="13" t="str">
        <f t="shared" si="4"/>
        <v>T</v>
      </c>
      <c r="R6" s="13" t="str">
        <f t="shared" si="4"/>
        <v>W</v>
      </c>
      <c r="S6" s="13" t="str">
        <f t="shared" si="4"/>
        <v>T</v>
      </c>
      <c r="T6" s="13" t="str">
        <f t="shared" si="4"/>
        <v>F</v>
      </c>
      <c r="U6" s="13" t="str">
        <f t="shared" si="4"/>
        <v>S</v>
      </c>
      <c r="V6" s="13" t="str">
        <f t="shared" si="4"/>
        <v>S</v>
      </c>
      <c r="W6" s="13" t="str">
        <f t="shared" si="4"/>
        <v>M</v>
      </c>
      <c r="X6" s="13" t="str">
        <f t="shared" si="4"/>
        <v>T</v>
      </c>
      <c r="Y6" s="13" t="str">
        <f t="shared" si="4"/>
        <v>W</v>
      </c>
      <c r="Z6" s="13" t="str">
        <f t="shared" si="4"/>
        <v>T</v>
      </c>
      <c r="AA6" s="13" t="str">
        <f t="shared" si="4"/>
        <v>F</v>
      </c>
      <c r="AB6" s="13" t="str">
        <f t="shared" si="4"/>
        <v>S</v>
      </c>
      <c r="AC6" s="13" t="str">
        <f t="shared" si="4"/>
        <v>S</v>
      </c>
      <c r="AD6" s="13" t="str">
        <f t="shared" si="4"/>
        <v>M</v>
      </c>
      <c r="AE6" s="13" t="str">
        <f t="shared" si="4"/>
        <v>T</v>
      </c>
      <c r="AF6" s="13" t="str">
        <f t="shared" si="4"/>
        <v>W</v>
      </c>
      <c r="AG6" s="13" t="str">
        <f t="shared" si="4"/>
        <v>T</v>
      </c>
      <c r="AH6" s="13" t="str">
        <f t="shared" si="4"/>
        <v>F</v>
      </c>
      <c r="AI6" s="13" t="str">
        <f t="shared" si="4"/>
        <v>S</v>
      </c>
      <c r="AJ6" s="13" t="str">
        <f t="shared" si="4"/>
        <v>S</v>
      </c>
      <c r="AK6" s="13" t="str">
        <f t="shared" si="4"/>
        <v>M</v>
      </c>
      <c r="AL6" s="13" t="str">
        <f t="shared" si="4"/>
        <v>T</v>
      </c>
      <c r="AM6" s="13" t="str">
        <f t="shared" si="4"/>
        <v>W</v>
      </c>
      <c r="AN6" s="13" t="str">
        <f t="shared" si="4"/>
        <v>T</v>
      </c>
      <c r="AO6" s="13" t="str">
        <f t="shared" si="4"/>
        <v>F</v>
      </c>
      <c r="AP6" s="13" t="str">
        <f t="shared" si="4"/>
        <v>S</v>
      </c>
      <c r="AQ6" s="13" t="str">
        <f t="shared" si="4"/>
        <v>S</v>
      </c>
      <c r="AR6" s="13" t="str">
        <f t="shared" si="4"/>
        <v>M</v>
      </c>
      <c r="AS6" s="13" t="str">
        <f t="shared" ref="AS6:BL6" si="5">LEFT(TEXT(AS5,"ddd"),1)</f>
        <v>T</v>
      </c>
      <c r="AT6" s="13" t="str">
        <f t="shared" si="5"/>
        <v>W</v>
      </c>
      <c r="AU6" s="13" t="str">
        <f t="shared" si="5"/>
        <v>T</v>
      </c>
      <c r="AV6" s="13" t="str">
        <f t="shared" si="5"/>
        <v>F</v>
      </c>
      <c r="AW6" s="13" t="str">
        <f t="shared" si="5"/>
        <v>S</v>
      </c>
      <c r="AX6" s="13" t="str">
        <f t="shared" si="5"/>
        <v>S</v>
      </c>
      <c r="AY6" s="13" t="str">
        <f t="shared" si="5"/>
        <v>M</v>
      </c>
      <c r="AZ6" s="13" t="str">
        <f t="shared" si="5"/>
        <v>T</v>
      </c>
      <c r="BA6" s="13" t="str">
        <f t="shared" si="5"/>
        <v>W</v>
      </c>
      <c r="BB6" s="13" t="str">
        <f t="shared" si="5"/>
        <v>T</v>
      </c>
      <c r="BC6" s="13" t="str">
        <f t="shared" si="5"/>
        <v>F</v>
      </c>
      <c r="BD6" s="13" t="str">
        <f t="shared" si="5"/>
        <v>S</v>
      </c>
      <c r="BE6" s="13" t="str">
        <f t="shared" si="5"/>
        <v>S</v>
      </c>
      <c r="BF6" s="13" t="str">
        <f t="shared" si="5"/>
        <v>M</v>
      </c>
      <c r="BG6" s="13" t="str">
        <f t="shared" si="5"/>
        <v>T</v>
      </c>
      <c r="BH6" s="13" t="str">
        <f t="shared" si="5"/>
        <v>W</v>
      </c>
      <c r="BI6" s="13" t="str">
        <f t="shared" si="5"/>
        <v>T</v>
      </c>
      <c r="BJ6" s="13" t="str">
        <f t="shared" si="5"/>
        <v>F</v>
      </c>
      <c r="BK6" s="13" t="str">
        <f t="shared" si="5"/>
        <v>S</v>
      </c>
      <c r="BL6" s="13" t="str">
        <f t="shared" si="5"/>
        <v>S</v>
      </c>
    </row>
    <row r="7" spans="1:64" ht="30" hidden="1" customHeight="1" thickBot="1" x14ac:dyDescent="0.3">
      <c r="A7" s="58" t="s">
        <v>37</v>
      </c>
      <c r="C7" s="62"/>
      <c r="E7"/>
      <c r="H7" t="str">
        <f>IF(OR(ISBLANK(task_start),ISBLANK(task_end)),"",task_end-task_start+1)</f>
        <v/>
      </c>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c r="AW7" s="44"/>
      <c r="AX7" s="44"/>
      <c r="AY7" s="44"/>
      <c r="AZ7" s="44"/>
      <c r="BA7" s="44"/>
      <c r="BB7" s="44"/>
      <c r="BC7" s="44"/>
      <c r="BD7" s="44"/>
      <c r="BE7" s="44"/>
      <c r="BF7" s="44"/>
      <c r="BG7" s="44"/>
      <c r="BH7" s="44"/>
      <c r="BI7" s="44"/>
      <c r="BJ7" s="44"/>
      <c r="BK7" s="44"/>
      <c r="BL7" s="44"/>
    </row>
    <row r="8" spans="1:64" s="3" customFormat="1" ht="30" customHeight="1" thickBot="1" x14ac:dyDescent="0.3">
      <c r="A8" s="59" t="s">
        <v>43</v>
      </c>
      <c r="B8" s="18" t="s">
        <v>48</v>
      </c>
      <c r="C8" s="70"/>
      <c r="D8" s="19"/>
      <c r="E8" s="20"/>
      <c r="F8" s="21"/>
      <c r="G8" s="17"/>
      <c r="H8" s="17" t="str">
        <f t="shared" ref="H8:H33" si="6">IF(OR(ISBLANK(task_start),ISBLANK(task_end)),"",task_end-task_start+1)</f>
        <v/>
      </c>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c r="AW8" s="44"/>
      <c r="AX8" s="44"/>
      <c r="AY8" s="44"/>
      <c r="AZ8" s="44"/>
      <c r="BA8" s="44"/>
      <c r="BB8" s="44"/>
      <c r="BC8" s="44"/>
      <c r="BD8" s="44"/>
      <c r="BE8" s="44"/>
      <c r="BF8" s="44"/>
      <c r="BG8" s="44"/>
      <c r="BH8" s="44"/>
      <c r="BI8" s="44"/>
      <c r="BJ8" s="44"/>
      <c r="BK8" s="44"/>
      <c r="BL8" s="44"/>
    </row>
    <row r="9" spans="1:64" s="3" customFormat="1" ht="30" customHeight="1" thickBot="1" x14ac:dyDescent="0.3">
      <c r="A9" s="59" t="s">
        <v>44</v>
      </c>
      <c r="B9" s="79" t="s">
        <v>49</v>
      </c>
      <c r="C9" s="71" t="s">
        <v>51</v>
      </c>
      <c r="D9" s="22">
        <v>1</v>
      </c>
      <c r="E9" s="65">
        <f>Project_Start</f>
        <v>44252</v>
      </c>
      <c r="F9" s="65">
        <f>E9+3</f>
        <v>44255</v>
      </c>
      <c r="G9" s="17"/>
      <c r="H9" s="17">
        <f t="shared" si="6"/>
        <v>4</v>
      </c>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c r="AW9" s="44"/>
      <c r="AX9" s="44"/>
      <c r="AY9" s="44"/>
      <c r="AZ9" s="44"/>
      <c r="BA9" s="44"/>
      <c r="BB9" s="44"/>
      <c r="BC9" s="44"/>
      <c r="BD9" s="44"/>
      <c r="BE9" s="44"/>
      <c r="BF9" s="44"/>
      <c r="BG9" s="44"/>
      <c r="BH9" s="44"/>
      <c r="BI9" s="44"/>
      <c r="BJ9" s="44"/>
      <c r="BK9" s="44"/>
      <c r="BL9" s="44"/>
    </row>
    <row r="10" spans="1:64" s="3" customFormat="1" ht="30" customHeight="1" thickBot="1" x14ac:dyDescent="0.3">
      <c r="A10" s="59" t="s">
        <v>45</v>
      </c>
      <c r="B10" s="79" t="s">
        <v>52</v>
      </c>
      <c r="C10" s="71" t="s">
        <v>51</v>
      </c>
      <c r="D10" s="22">
        <v>1</v>
      </c>
      <c r="E10" s="65">
        <f>F9</f>
        <v>44255</v>
      </c>
      <c r="F10" s="65">
        <f>E10+2</f>
        <v>44257</v>
      </c>
      <c r="G10" s="17"/>
      <c r="H10" s="17">
        <f t="shared" si="6"/>
        <v>3</v>
      </c>
      <c r="I10" s="44"/>
      <c r="J10" s="44"/>
      <c r="K10" s="44"/>
      <c r="L10" s="44"/>
      <c r="M10" s="44"/>
      <c r="N10" s="44"/>
      <c r="O10" s="44"/>
      <c r="P10" s="44"/>
      <c r="Q10" s="44"/>
      <c r="R10" s="44"/>
      <c r="S10" s="44"/>
      <c r="T10" s="44"/>
      <c r="U10" s="45"/>
      <c r="V10" s="45"/>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row>
    <row r="11" spans="1:64" s="3" customFormat="1" ht="30" customHeight="1" thickBot="1" x14ac:dyDescent="0.3">
      <c r="A11" s="58"/>
      <c r="B11" s="79" t="s">
        <v>0</v>
      </c>
      <c r="C11" s="71"/>
      <c r="D11" s="22">
        <v>0.5</v>
      </c>
      <c r="E11" s="65">
        <f>F10</f>
        <v>44257</v>
      </c>
      <c r="F11" s="65">
        <f>E11+4</f>
        <v>44261</v>
      </c>
      <c r="G11" s="17"/>
      <c r="H11" s="17">
        <f t="shared" si="6"/>
        <v>5</v>
      </c>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c r="BL11" s="44"/>
    </row>
    <row r="12" spans="1:64" s="3" customFormat="1" ht="30" customHeight="1" thickBot="1" x14ac:dyDescent="0.3">
      <c r="A12" s="58"/>
      <c r="B12" s="79" t="s">
        <v>1</v>
      </c>
      <c r="C12" s="71"/>
      <c r="D12" s="22">
        <v>0.25</v>
      </c>
      <c r="E12" s="65">
        <f>F11</f>
        <v>44261</v>
      </c>
      <c r="F12" s="65">
        <f>E12+5</f>
        <v>44266</v>
      </c>
      <c r="G12" s="17"/>
      <c r="H12" s="17">
        <f t="shared" si="6"/>
        <v>6</v>
      </c>
      <c r="I12" s="44"/>
      <c r="J12" s="44"/>
      <c r="K12" s="44"/>
      <c r="L12" s="44"/>
      <c r="M12" s="44"/>
      <c r="N12" s="44"/>
      <c r="O12" s="44"/>
      <c r="P12" s="44"/>
      <c r="Q12" s="44"/>
      <c r="R12" s="44"/>
      <c r="S12" s="44"/>
      <c r="T12" s="44"/>
      <c r="U12" s="44"/>
      <c r="V12" s="44"/>
      <c r="W12" s="44"/>
      <c r="X12" s="44"/>
      <c r="Y12" s="45"/>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row>
    <row r="13" spans="1:64" s="3" customFormat="1" ht="30" customHeight="1" thickBot="1" x14ac:dyDescent="0.3">
      <c r="A13" s="58"/>
      <c r="B13" s="79" t="s">
        <v>2</v>
      </c>
      <c r="C13" s="71"/>
      <c r="D13" s="22">
        <v>0.2</v>
      </c>
      <c r="E13" s="65">
        <f>E10+1</f>
        <v>44256</v>
      </c>
      <c r="F13" s="65">
        <f>E13+2</f>
        <v>44258</v>
      </c>
      <c r="G13" s="17"/>
      <c r="H13" s="17">
        <f t="shared" si="6"/>
        <v>3</v>
      </c>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row>
    <row r="14" spans="1:64" s="3" customFormat="1" ht="30" customHeight="1" thickBot="1" x14ac:dyDescent="0.3">
      <c r="A14" s="59" t="s">
        <v>46</v>
      </c>
      <c r="B14" s="23" t="s">
        <v>3</v>
      </c>
      <c r="C14" s="72"/>
      <c r="D14" s="24"/>
      <c r="E14" s="25"/>
      <c r="F14" s="26"/>
      <c r="G14" s="17"/>
      <c r="H14" s="17" t="str">
        <f t="shared" si="6"/>
        <v/>
      </c>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c r="AW14" s="44"/>
      <c r="AX14" s="44"/>
      <c r="AY14" s="44"/>
      <c r="AZ14" s="44"/>
      <c r="BA14" s="44"/>
      <c r="BB14" s="44"/>
      <c r="BC14" s="44"/>
      <c r="BD14" s="44"/>
      <c r="BE14" s="44"/>
      <c r="BF14" s="44"/>
      <c r="BG14" s="44"/>
      <c r="BH14" s="44"/>
      <c r="BI14" s="44"/>
      <c r="BJ14" s="44"/>
      <c r="BK14" s="44"/>
      <c r="BL14" s="44"/>
    </row>
    <row r="15" spans="1:64" s="3" customFormat="1" ht="30" customHeight="1" thickBot="1" x14ac:dyDescent="0.3">
      <c r="A15" s="59"/>
      <c r="B15" s="80" t="s">
        <v>4</v>
      </c>
      <c r="C15" s="73"/>
      <c r="D15" s="27">
        <v>0.5</v>
      </c>
      <c r="E15" s="66">
        <f>E13+1</f>
        <v>44257</v>
      </c>
      <c r="F15" s="66">
        <f>E15+4</f>
        <v>44261</v>
      </c>
      <c r="G15" s="17"/>
      <c r="H15" s="17">
        <f t="shared" si="6"/>
        <v>5</v>
      </c>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c r="BA15" s="44"/>
      <c r="BB15" s="44"/>
      <c r="BC15" s="44"/>
      <c r="BD15" s="44"/>
      <c r="BE15" s="44"/>
      <c r="BF15" s="44"/>
      <c r="BG15" s="44"/>
      <c r="BH15" s="44"/>
      <c r="BI15" s="44"/>
      <c r="BJ15" s="44"/>
      <c r="BK15" s="44"/>
      <c r="BL15" s="44"/>
    </row>
    <row r="16" spans="1:64" s="3" customFormat="1" ht="30" customHeight="1" thickBot="1" x14ac:dyDescent="0.3">
      <c r="A16" s="58"/>
      <c r="B16" s="80" t="s">
        <v>5</v>
      </c>
      <c r="C16" s="73"/>
      <c r="D16" s="27">
        <v>0.5</v>
      </c>
      <c r="E16" s="66">
        <f>E15+2</f>
        <v>44259</v>
      </c>
      <c r="F16" s="66">
        <f>E16+5</f>
        <v>44264</v>
      </c>
      <c r="G16" s="17"/>
      <c r="H16" s="17">
        <f t="shared" si="6"/>
        <v>6</v>
      </c>
      <c r="I16" s="44"/>
      <c r="J16" s="44"/>
      <c r="K16" s="44"/>
      <c r="L16" s="44"/>
      <c r="M16" s="44"/>
      <c r="N16" s="44"/>
      <c r="O16" s="44"/>
      <c r="P16" s="44"/>
      <c r="Q16" s="44"/>
      <c r="R16" s="44"/>
      <c r="S16" s="44"/>
      <c r="T16" s="44"/>
      <c r="U16" s="45"/>
      <c r="V16" s="45"/>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row>
    <row r="17" spans="1:64" s="3" customFormat="1" ht="30" customHeight="1" thickBot="1" x14ac:dyDescent="0.3">
      <c r="A17" s="58"/>
      <c r="B17" s="80" t="s">
        <v>0</v>
      </c>
      <c r="C17" s="73"/>
      <c r="D17" s="27"/>
      <c r="E17" s="66">
        <f>F16</f>
        <v>44264</v>
      </c>
      <c r="F17" s="66">
        <f>E17+3</f>
        <v>44267</v>
      </c>
      <c r="G17" s="17"/>
      <c r="H17" s="17">
        <f t="shared" si="6"/>
        <v>4</v>
      </c>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row>
    <row r="18" spans="1:64" s="3" customFormat="1" ht="30" customHeight="1" thickBot="1" x14ac:dyDescent="0.3">
      <c r="A18" s="58"/>
      <c r="B18" s="80" t="s">
        <v>1</v>
      </c>
      <c r="C18" s="73"/>
      <c r="D18" s="27"/>
      <c r="E18" s="66">
        <f>E17</f>
        <v>44264</v>
      </c>
      <c r="F18" s="66">
        <f>E18+2</f>
        <v>44266</v>
      </c>
      <c r="G18" s="17"/>
      <c r="H18" s="17">
        <f t="shared" si="6"/>
        <v>3</v>
      </c>
      <c r="I18" s="44"/>
      <c r="J18" s="44"/>
      <c r="K18" s="44"/>
      <c r="L18" s="44"/>
      <c r="M18" s="44"/>
      <c r="N18" s="44"/>
      <c r="O18" s="44"/>
      <c r="P18" s="44"/>
      <c r="Q18" s="44"/>
      <c r="R18" s="44"/>
      <c r="S18" s="44"/>
      <c r="T18" s="44"/>
      <c r="U18" s="44"/>
      <c r="V18" s="44"/>
      <c r="W18" s="44"/>
      <c r="X18" s="44"/>
      <c r="Y18" s="45"/>
      <c r="Z18" s="44"/>
      <c r="AA18" s="44"/>
      <c r="AB18" s="44"/>
      <c r="AC18" s="44"/>
      <c r="AD18" s="44"/>
      <c r="AE18" s="44"/>
      <c r="AF18" s="44"/>
      <c r="AG18" s="44"/>
      <c r="AH18" s="44"/>
      <c r="AI18" s="44"/>
      <c r="AJ18" s="44"/>
      <c r="AK18" s="44"/>
      <c r="AL18" s="4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c r="BL18" s="44"/>
    </row>
    <row r="19" spans="1:64" s="3" customFormat="1" ht="30" customHeight="1" thickBot="1" x14ac:dyDescent="0.3">
      <c r="A19" s="58"/>
      <c r="B19" s="80" t="s">
        <v>2</v>
      </c>
      <c r="C19" s="73"/>
      <c r="D19" s="27"/>
      <c r="E19" s="66">
        <f>E18</f>
        <v>44264</v>
      </c>
      <c r="F19" s="66">
        <f>E19+3</f>
        <v>44267</v>
      </c>
      <c r="G19" s="17"/>
      <c r="H19" s="17">
        <f t="shared" si="6"/>
        <v>4</v>
      </c>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c r="BL19" s="44"/>
    </row>
    <row r="20" spans="1:64" s="3" customFormat="1" ht="30" customHeight="1" thickBot="1" x14ac:dyDescent="0.3">
      <c r="A20" s="58" t="s">
        <v>34</v>
      </c>
      <c r="B20" s="28" t="s">
        <v>16</v>
      </c>
      <c r="C20" s="74"/>
      <c r="D20" s="29"/>
      <c r="E20" s="30"/>
      <c r="F20" s="31"/>
      <c r="G20" s="17"/>
      <c r="H20" s="17" t="str">
        <f t="shared" si="6"/>
        <v/>
      </c>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c r="AW20" s="44"/>
      <c r="AX20" s="44"/>
      <c r="AY20" s="44"/>
      <c r="AZ20" s="44"/>
      <c r="BA20" s="44"/>
      <c r="BB20" s="44"/>
      <c r="BC20" s="44"/>
      <c r="BD20" s="44"/>
      <c r="BE20" s="44"/>
      <c r="BF20" s="44"/>
      <c r="BG20" s="44"/>
      <c r="BH20" s="44"/>
      <c r="BI20" s="44"/>
      <c r="BJ20" s="44"/>
      <c r="BK20" s="44"/>
      <c r="BL20" s="44"/>
    </row>
    <row r="21" spans="1:64" s="3" customFormat="1" ht="30" customHeight="1" thickBot="1" x14ac:dyDescent="0.3">
      <c r="A21" s="58"/>
      <c r="B21" s="81" t="s">
        <v>4</v>
      </c>
      <c r="C21" s="75"/>
      <c r="D21" s="32"/>
      <c r="E21" s="67">
        <f>E9+15</f>
        <v>44267</v>
      </c>
      <c r="F21" s="67">
        <f>E21+5</f>
        <v>44272</v>
      </c>
      <c r="G21" s="17"/>
      <c r="H21" s="17">
        <f t="shared" si="6"/>
        <v>6</v>
      </c>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row>
    <row r="22" spans="1:64" s="3" customFormat="1" ht="30" customHeight="1" thickBot="1" x14ac:dyDescent="0.3">
      <c r="A22" s="58"/>
      <c r="B22" s="81" t="s">
        <v>5</v>
      </c>
      <c r="C22" s="75"/>
      <c r="D22" s="32"/>
      <c r="E22" s="67">
        <f>F21+1</f>
        <v>44273</v>
      </c>
      <c r="F22" s="67">
        <f>E22+4</f>
        <v>44277</v>
      </c>
      <c r="G22" s="17"/>
      <c r="H22" s="17">
        <f t="shared" si="6"/>
        <v>5</v>
      </c>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c r="BL22" s="44"/>
    </row>
    <row r="23" spans="1:64" s="3" customFormat="1" ht="30" customHeight="1" thickBot="1" x14ac:dyDescent="0.3">
      <c r="A23" s="58"/>
      <c r="B23" s="81" t="s">
        <v>0</v>
      </c>
      <c r="C23" s="75"/>
      <c r="D23" s="32"/>
      <c r="E23" s="67">
        <f>E22+5</f>
        <v>44278</v>
      </c>
      <c r="F23" s="67">
        <f>E23+5</f>
        <v>44283</v>
      </c>
      <c r="G23" s="17"/>
      <c r="H23" s="17">
        <f t="shared" si="6"/>
        <v>6</v>
      </c>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c r="AW23" s="44"/>
      <c r="AX23" s="44"/>
      <c r="AY23" s="44"/>
      <c r="AZ23" s="44"/>
      <c r="BA23" s="44"/>
      <c r="BB23" s="44"/>
      <c r="BC23" s="44"/>
      <c r="BD23" s="44"/>
      <c r="BE23" s="44"/>
      <c r="BF23" s="44"/>
      <c r="BG23" s="44"/>
      <c r="BH23" s="44"/>
      <c r="BI23" s="44"/>
      <c r="BJ23" s="44"/>
      <c r="BK23" s="44"/>
      <c r="BL23" s="44"/>
    </row>
    <row r="24" spans="1:64" s="3" customFormat="1" ht="30" customHeight="1" thickBot="1" x14ac:dyDescent="0.3">
      <c r="A24" s="58"/>
      <c r="B24" s="81" t="s">
        <v>1</v>
      </c>
      <c r="C24" s="75"/>
      <c r="D24" s="32"/>
      <c r="E24" s="67">
        <f>F23+1</f>
        <v>44284</v>
      </c>
      <c r="F24" s="67">
        <f>E24+4</f>
        <v>44288</v>
      </c>
      <c r="G24" s="17"/>
      <c r="H24" s="17">
        <f t="shared" si="6"/>
        <v>5</v>
      </c>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row>
    <row r="25" spans="1:64" s="3" customFormat="1" ht="30" customHeight="1" thickBot="1" x14ac:dyDescent="0.3">
      <c r="A25" s="58"/>
      <c r="B25" s="81" t="s">
        <v>2</v>
      </c>
      <c r="C25" s="75"/>
      <c r="D25" s="32"/>
      <c r="E25" s="67">
        <f>E23</f>
        <v>44278</v>
      </c>
      <c r="F25" s="67">
        <f>E25+4</f>
        <v>44282</v>
      </c>
      <c r="G25" s="17"/>
      <c r="H25" s="17">
        <f t="shared" si="6"/>
        <v>5</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row>
    <row r="26" spans="1:64" s="3" customFormat="1" ht="30" customHeight="1" thickBot="1" x14ac:dyDescent="0.3">
      <c r="A26" s="58" t="s">
        <v>34</v>
      </c>
      <c r="B26" s="33" t="s">
        <v>28</v>
      </c>
      <c r="C26" s="76"/>
      <c r="D26" s="34"/>
      <c r="E26" s="35"/>
      <c r="F26" s="36"/>
      <c r="G26" s="17"/>
      <c r="H26" s="17" t="str">
        <f t="shared" si="6"/>
        <v/>
      </c>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c r="AW26" s="44"/>
      <c r="AX26" s="44"/>
      <c r="AY26" s="44"/>
      <c r="AZ26" s="44"/>
      <c r="BA26" s="44"/>
      <c r="BB26" s="44"/>
      <c r="BC26" s="44"/>
      <c r="BD26" s="44"/>
      <c r="BE26" s="44"/>
      <c r="BF26" s="44"/>
      <c r="BG26" s="44"/>
      <c r="BH26" s="44"/>
      <c r="BI26" s="44"/>
      <c r="BJ26" s="44"/>
      <c r="BK26" s="44"/>
      <c r="BL26" s="44"/>
    </row>
    <row r="27" spans="1:64" s="3" customFormat="1" ht="30" customHeight="1" thickBot="1" x14ac:dyDescent="0.3">
      <c r="A27" s="58"/>
      <c r="B27" s="82" t="s">
        <v>4</v>
      </c>
      <c r="C27" s="77"/>
      <c r="D27" s="37"/>
      <c r="E27" s="68" t="s">
        <v>33</v>
      </c>
      <c r="F27" s="68" t="s">
        <v>33</v>
      </c>
      <c r="G27" s="17"/>
      <c r="H27" s="17" t="e">
        <f t="shared" si="6"/>
        <v>#VALUE!</v>
      </c>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c r="BL27" s="44"/>
    </row>
    <row r="28" spans="1:64" s="3" customFormat="1" ht="30" customHeight="1" thickBot="1" x14ac:dyDescent="0.3">
      <c r="A28" s="58"/>
      <c r="B28" s="82" t="s">
        <v>5</v>
      </c>
      <c r="C28" s="77"/>
      <c r="D28" s="37"/>
      <c r="E28" s="68" t="s">
        <v>33</v>
      </c>
      <c r="F28" s="68" t="s">
        <v>33</v>
      </c>
      <c r="G28" s="17"/>
      <c r="H28" s="17" t="e">
        <f t="shared" si="6"/>
        <v>#VALUE!</v>
      </c>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c r="AW28" s="44"/>
      <c r="AX28" s="44"/>
      <c r="AY28" s="44"/>
      <c r="AZ28" s="44"/>
      <c r="BA28" s="44"/>
      <c r="BB28" s="44"/>
      <c r="BC28" s="44"/>
      <c r="BD28" s="44"/>
      <c r="BE28" s="44"/>
      <c r="BF28" s="44"/>
      <c r="BG28" s="44"/>
      <c r="BH28" s="44"/>
      <c r="BI28" s="44"/>
      <c r="BJ28" s="44"/>
      <c r="BK28" s="44"/>
      <c r="BL28" s="44"/>
    </row>
    <row r="29" spans="1:64" s="3" customFormat="1" ht="30" customHeight="1" thickBot="1" x14ac:dyDescent="0.3">
      <c r="A29" s="58"/>
      <c r="B29" s="82" t="s">
        <v>0</v>
      </c>
      <c r="C29" s="77"/>
      <c r="D29" s="37"/>
      <c r="E29" s="68" t="s">
        <v>33</v>
      </c>
      <c r="F29" s="68" t="s">
        <v>33</v>
      </c>
      <c r="G29" s="17"/>
      <c r="H29" s="17" t="e">
        <f t="shared" si="6"/>
        <v>#VALUE!</v>
      </c>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c r="BL29" s="44"/>
    </row>
    <row r="30" spans="1:64" s="3" customFormat="1" ht="30" customHeight="1" thickBot="1" x14ac:dyDescent="0.3">
      <c r="A30" s="58"/>
      <c r="B30" s="82" t="s">
        <v>1</v>
      </c>
      <c r="C30" s="77"/>
      <c r="D30" s="37"/>
      <c r="E30" s="68" t="s">
        <v>33</v>
      </c>
      <c r="F30" s="68" t="s">
        <v>33</v>
      </c>
      <c r="G30" s="17"/>
      <c r="H30" s="17" t="e">
        <f t="shared" si="6"/>
        <v>#VALUE!</v>
      </c>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c r="BL30" s="44"/>
    </row>
    <row r="31" spans="1:64" s="3" customFormat="1" ht="30" customHeight="1" thickBot="1" x14ac:dyDescent="0.3">
      <c r="A31" s="58"/>
      <c r="B31" s="82" t="s">
        <v>2</v>
      </c>
      <c r="C31" s="77"/>
      <c r="D31" s="37"/>
      <c r="E31" s="68" t="s">
        <v>33</v>
      </c>
      <c r="F31" s="68" t="s">
        <v>33</v>
      </c>
      <c r="G31" s="17"/>
      <c r="H31" s="17" t="e">
        <f t="shared" si="6"/>
        <v>#VALUE!</v>
      </c>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c r="AW31" s="44"/>
      <c r="AX31" s="44"/>
      <c r="AY31" s="44"/>
      <c r="AZ31" s="44"/>
      <c r="BA31" s="44"/>
      <c r="BB31" s="44"/>
      <c r="BC31" s="44"/>
      <c r="BD31" s="44"/>
      <c r="BE31" s="44"/>
      <c r="BF31" s="44"/>
      <c r="BG31" s="44"/>
      <c r="BH31" s="44"/>
      <c r="BI31" s="44"/>
      <c r="BJ31" s="44"/>
      <c r="BK31" s="44"/>
      <c r="BL31" s="44"/>
    </row>
    <row r="32" spans="1:64" s="3" customFormat="1" ht="30" customHeight="1" thickBot="1" x14ac:dyDescent="0.3">
      <c r="A32" s="58" t="s">
        <v>36</v>
      </c>
      <c r="B32" s="83"/>
      <c r="C32" s="78"/>
      <c r="D32" s="16"/>
      <c r="E32" s="69"/>
      <c r="F32" s="69"/>
      <c r="G32" s="17"/>
      <c r="H32" s="17" t="str">
        <f t="shared" si="6"/>
        <v/>
      </c>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c r="AW32" s="44"/>
      <c r="AX32" s="44"/>
      <c r="AY32" s="44"/>
      <c r="AZ32" s="44"/>
      <c r="BA32" s="44"/>
      <c r="BB32" s="44"/>
      <c r="BC32" s="44"/>
      <c r="BD32" s="44"/>
      <c r="BE32" s="44"/>
      <c r="BF32" s="44"/>
      <c r="BG32" s="44"/>
      <c r="BH32" s="44"/>
      <c r="BI32" s="44"/>
      <c r="BJ32" s="44"/>
      <c r="BK32" s="44"/>
      <c r="BL32" s="44"/>
    </row>
    <row r="33" spans="1:64" s="3" customFormat="1" ht="30" customHeight="1" thickBot="1" x14ac:dyDescent="0.3">
      <c r="A33" s="59" t="s">
        <v>35</v>
      </c>
      <c r="B33" s="38" t="s">
        <v>6</v>
      </c>
      <c r="C33" s="39"/>
      <c r="D33" s="40"/>
      <c r="E33" s="41"/>
      <c r="F33" s="42"/>
      <c r="G33" s="43"/>
      <c r="H33" s="43" t="str">
        <f t="shared" si="6"/>
        <v/>
      </c>
      <c r="I33" s="46"/>
      <c r="J33" s="46"/>
      <c r="K33" s="46"/>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row>
    <row r="34" spans="1:64" ht="30" customHeight="1" x14ac:dyDescent="0.25">
      <c r="G34" s="6"/>
    </row>
    <row r="35" spans="1:64" ht="30" customHeight="1" x14ac:dyDescent="0.25">
      <c r="C35" s="14"/>
      <c r="F35" s="60"/>
    </row>
    <row r="36" spans="1:64" ht="30" customHeight="1" x14ac:dyDescent="0.25">
      <c r="C36" s="15"/>
    </row>
  </sheetData>
  <mergeCells count="12">
    <mergeCell ref="AY4:BE4"/>
    <mergeCell ref="BF4:BL4"/>
    <mergeCell ref="E3:F3"/>
    <mergeCell ref="I4:O4"/>
    <mergeCell ref="P4:V4"/>
    <mergeCell ref="W4:AC4"/>
    <mergeCell ref="AD4:AJ4"/>
    <mergeCell ref="C3:D3"/>
    <mergeCell ref="C4:D4"/>
    <mergeCell ref="B5:G5"/>
    <mergeCell ref="AK4:AQ4"/>
    <mergeCell ref="AR4:AX4"/>
  </mergeCells>
  <conditionalFormatting sqref="D7:D33">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3">
    <cfRule type="expression" dxfId="2" priority="33">
      <formula>AND(TODAY()&gt;=I$5,TODAY()&lt;J$5)</formula>
    </cfRule>
  </conditionalFormatting>
  <conditionalFormatting sqref="I7:BL33">
    <cfRule type="expression" dxfId="1" priority="27">
      <formula>AND(task_start&lt;=I$5,ROUNDDOWN((task_end-task_start+1)*task_progress,0)+task_start-1&gt;=I$5)</formula>
    </cfRule>
    <cfRule type="expression" dxfId="0" priority="28" stopIfTrue="1">
      <formula>AND(task_end&gt;=I$5,task_start&lt;J$5)</formula>
    </cfRule>
  </conditionalFormatting>
  <dataValidations disablePrompts="1" count="1">
    <dataValidation type="whole" operator="greaterThanOrEqual" allowBlank="1" showInputMessage="1" promptTitle="Display Week" prompt="Changing this number will scroll the Gantt Chart view." sqref="E4" xr:uid="{00000000-0002-0000-0000-000000000000}">
      <formula1>1</formula1>
    </dataValidation>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18 F22:F23 E23"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RowHeight="12.75" x14ac:dyDescent="0.2"/>
  <cols>
    <col min="1" max="1" width="87.140625" style="48" customWidth="1"/>
    <col min="2" max="16384" width="9.140625" style="2"/>
  </cols>
  <sheetData>
    <row r="1" spans="1:2" ht="46.5" customHeight="1" x14ac:dyDescent="0.2"/>
    <row r="2" spans="1:2" s="50" customFormat="1" ht="15.75" x14ac:dyDescent="0.25">
      <c r="A2" s="49" t="s">
        <v>19</v>
      </c>
      <c r="B2" s="49"/>
    </row>
    <row r="3" spans="1:2" s="54" customFormat="1" ht="27" customHeight="1" x14ac:dyDescent="0.25">
      <c r="A3" s="55" t="s">
        <v>24</v>
      </c>
      <c r="B3" s="55"/>
    </row>
    <row r="4" spans="1:2" s="51" customFormat="1" ht="26.25" x14ac:dyDescent="0.4">
      <c r="A4" s="52" t="s">
        <v>18</v>
      </c>
    </row>
    <row r="5" spans="1:2" ht="74.099999999999994" customHeight="1" x14ac:dyDescent="0.2">
      <c r="A5" s="53" t="s">
        <v>27</v>
      </c>
    </row>
    <row r="6" spans="1:2" ht="26.25" customHeight="1" x14ac:dyDescent="0.2">
      <c r="A6" s="52" t="s">
        <v>31</v>
      </c>
    </row>
    <row r="7" spans="1:2" s="48" customFormat="1" ht="204.95" customHeight="1" x14ac:dyDescent="0.25">
      <c r="A7" s="57" t="s">
        <v>30</v>
      </c>
    </row>
    <row r="8" spans="1:2" s="51" customFormat="1" ht="26.25" x14ac:dyDescent="0.4">
      <c r="A8" s="52" t="s">
        <v>20</v>
      </c>
    </row>
    <row r="9" spans="1:2" ht="60" x14ac:dyDescent="0.2">
      <c r="A9" s="53" t="s">
        <v>29</v>
      </c>
    </row>
    <row r="10" spans="1:2" s="48" customFormat="1" ht="27.95" customHeight="1" x14ac:dyDescent="0.25">
      <c r="A10" s="56" t="s">
        <v>26</v>
      </c>
    </row>
    <row r="11" spans="1:2" s="51" customFormat="1" ht="26.25" x14ac:dyDescent="0.4">
      <c r="A11" s="52" t="s">
        <v>17</v>
      </c>
    </row>
    <row r="12" spans="1:2" ht="30" x14ac:dyDescent="0.2">
      <c r="A12" s="53" t="s">
        <v>25</v>
      </c>
    </row>
    <row r="13" spans="1:2" s="48" customFormat="1" ht="27.95" customHeight="1" x14ac:dyDescent="0.25">
      <c r="A13" s="56" t="s">
        <v>10</v>
      </c>
    </row>
    <row r="14" spans="1:2" s="51" customFormat="1" ht="26.25" x14ac:dyDescent="0.4">
      <c r="A14" s="52" t="s">
        <v>21</v>
      </c>
    </row>
    <row r="15" spans="1:2" ht="75" customHeight="1" x14ac:dyDescent="0.2">
      <c r="A15" s="53" t="s">
        <v>22</v>
      </c>
    </row>
    <row r="16" spans="1:2" ht="75" x14ac:dyDescent="0.2">
      <c r="A16" s="53" t="s">
        <v>23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2021-04-02T20:46:24Z</dcterms:modified>
</cp:coreProperties>
</file>
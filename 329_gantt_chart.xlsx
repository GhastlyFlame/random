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filterPrivacy="1" codeName="ThisWorkbook"/>
  <xr:revisionPtr revIDLastSave="0" documentId="13_ncr:1_{8A700C11-51C9-4429-A736-10513D3F9FBE}" xr6:coauthVersionLast="46" xr6:coauthVersionMax="46" xr10:uidLastSave="{00000000-0000-0000-0000-000000000000}"/>
  <bookViews>
    <workbookView xWindow="-25320" yWindow="-8400" windowWidth="25440" windowHeight="1539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1" l="1"/>
  <c r="E20" i="11"/>
  <c r="F20" i="11" s="1"/>
  <c r="E22" i="11"/>
  <c r="F22" i="11" s="1"/>
  <c r="E28" i="11" s="1"/>
  <c r="F21" i="11"/>
  <c r="E26" i="11" s="1"/>
  <c r="F26" i="11" s="1"/>
  <c r="F15" i="11"/>
  <c r="F14" i="11"/>
  <c r="F18" i="11"/>
  <c r="F11" i="11"/>
  <c r="F12" i="11"/>
  <c r="E9" i="11"/>
  <c r="H7" i="11"/>
  <c r="E27" i="11" l="1"/>
  <c r="F27" i="11" s="1"/>
  <c r="E32" i="11" s="1"/>
  <c r="F28" i="11"/>
  <c r="H28" i="11" s="1"/>
  <c r="E23" i="11"/>
  <c r="F23" i="11" s="1"/>
  <c r="I5" i="11"/>
  <c r="H38" i="11"/>
  <c r="H37" i="11"/>
  <c r="H36" i="11"/>
  <c r="H35" i="11"/>
  <c r="H34" i="11"/>
  <c r="H31" i="11"/>
  <c r="H25" i="11"/>
  <c r="H19" i="11"/>
  <c r="H8" i="11"/>
  <c r="E33" i="11" l="1"/>
  <c r="F32" i="11"/>
  <c r="H26" i="11"/>
  <c r="H9" i="11"/>
  <c r="I6" i="11"/>
  <c r="F33" i="11" l="1"/>
  <c r="H33" i="11" s="1"/>
  <c r="E30" i="11"/>
  <c r="F30" i="11" s="1"/>
  <c r="H30" i="11" s="1"/>
  <c r="H10" i="11"/>
  <c r="E29" i="11"/>
  <c r="H27" i="11"/>
  <c r="H21" i="11"/>
  <c r="H17" i="11"/>
  <c r="J5" i="11"/>
  <c r="K5" i="11" s="1"/>
  <c r="L5" i="11" s="1"/>
  <c r="M5" i="11" s="1"/>
  <c r="N5" i="11" s="1"/>
  <c r="O5" i="11" s="1"/>
  <c r="P5" i="11" s="1"/>
  <c r="I4" i="11"/>
  <c r="F29" i="11" l="1"/>
  <c r="H29" i="11" s="1"/>
  <c r="H22" i="11"/>
  <c r="E24" i="11"/>
  <c r="H15" i="11"/>
  <c r="H14" i="11"/>
  <c r="P4" i="11"/>
  <c r="Q5" i="11"/>
  <c r="R5" i="11" s="1"/>
  <c r="S5" i="11" s="1"/>
  <c r="T5" i="11" s="1"/>
  <c r="U5" i="11" s="1"/>
  <c r="V5" i="11" s="1"/>
  <c r="W5" i="11" s="1"/>
  <c r="J6" i="11"/>
  <c r="F24" i="11" l="1"/>
  <c r="H24" i="11" s="1"/>
  <c r="H23" i="11"/>
  <c r="H20"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O5" i="11" l="1"/>
  <c r="BN6" i="11"/>
  <c r="AH6" i="11"/>
  <c r="BP5" i="11" l="1"/>
  <c r="BO6" i="11"/>
  <c r="AI6" i="11"/>
  <c r="BP6" i="11" l="1"/>
  <c r="BQ5" i="11"/>
  <c r="AJ6" i="11"/>
  <c r="BQ6" i="11" l="1"/>
  <c r="BR5" i="11"/>
  <c r="AK6" i="11"/>
  <c r="BR6" i="11" l="1"/>
  <c r="BS5" i="11"/>
  <c r="AL6" i="11"/>
  <c r="BT5" i="11" l="1"/>
  <c r="BS6" i="11"/>
  <c r="AM6" i="11"/>
  <c r="BT4" i="11" l="1"/>
  <c r="BU5" i="11"/>
  <c r="BT6" i="11"/>
  <c r="AN6" i="11"/>
  <c r="BV5" i="11" l="1"/>
  <c r="BU6" i="11"/>
  <c r="AO6" i="11"/>
  <c r="BW5" i="11" l="1"/>
  <c r="BV6" i="11"/>
  <c r="AP6" i="11"/>
  <c r="BW6" i="11" l="1"/>
  <c r="BX5" i="11"/>
  <c r="AQ6" i="11"/>
  <c r="BX6" i="11" l="1"/>
  <c r="BY5" i="11"/>
  <c r="AR6" i="11"/>
  <c r="BY6" i="11" l="1"/>
  <c r="BZ5" i="11"/>
  <c r="BZ6" i="11" l="1"/>
  <c r="CA5" i="11"/>
  <c r="CA4" i="11" l="1"/>
  <c r="CB5" i="11"/>
  <c r="CA6" i="11"/>
  <c r="CC5" i="11" l="1"/>
  <c r="CB6" i="11"/>
  <c r="CC6" i="11" l="1"/>
  <c r="CD5" i="11"/>
  <c r="CD6" i="11" l="1"/>
  <c r="CE5" i="11"/>
  <c r="CE6" i="11" l="1"/>
  <c r="CF5" i="11"/>
  <c r="CF6" i="11" l="1"/>
  <c r="CG5" i="11"/>
  <c r="CG6" i="11" l="1"/>
  <c r="CH5" i="11"/>
  <c r="CH4" i="11" l="1"/>
  <c r="CH6" i="11"/>
  <c r="CI5" i="11"/>
  <c r="CJ5" i="11" l="1"/>
  <c r="CI6" i="11"/>
  <c r="CK5" i="11" l="1"/>
  <c r="CJ6" i="11"/>
  <c r="CL5" i="11" l="1"/>
  <c r="CK6" i="11"/>
  <c r="CL6" i="11" l="1"/>
  <c r="CM5" i="11"/>
  <c r="CM6" i="11" l="1"/>
  <c r="CN5" i="11"/>
  <c r="CN6" i="11" l="1"/>
  <c r="CO5" i="11"/>
  <c r="CO4" i="11" l="1"/>
  <c r="CO6" i="11"/>
  <c r="CP5" i="11"/>
  <c r="CP6" i="11" l="1"/>
  <c r="CQ5" i="11"/>
  <c r="CR5" i="11" l="1"/>
  <c r="CQ6" i="11"/>
  <c r="CS5" i="11" l="1"/>
  <c r="CR6" i="11"/>
  <c r="CT5" i="11" l="1"/>
  <c r="CS6" i="11"/>
  <c r="CT6" i="11" l="1"/>
  <c r="CU5" i="11"/>
  <c r="CU6" i="11" l="1"/>
  <c r="CV5" i="11"/>
  <c r="CV4" i="11" l="1"/>
  <c r="CV6" i="11"/>
  <c r="CW5" i="11"/>
  <c r="CW6" i="11" l="1"/>
  <c r="CX5" i="11"/>
  <c r="CX6" i="11" l="1"/>
  <c r="CY5" i="11"/>
  <c r="CZ5" i="11" l="1"/>
  <c r="CY6" i="11"/>
  <c r="DA5" i="11" l="1"/>
  <c r="CZ6" i="11"/>
  <c r="DB5" i="11" l="1"/>
  <c r="DA6" i="11"/>
  <c r="DB6" i="11" l="1"/>
  <c r="DC5" i="11"/>
  <c r="DC4" i="11" l="1"/>
  <c r="DC6" i="11"/>
  <c r="DD5" i="11"/>
  <c r="DD6" i="11" l="1"/>
  <c r="DE5" i="11"/>
  <c r="DE6" i="11" l="1"/>
  <c r="DF5" i="11"/>
  <c r="DF6" i="11" l="1"/>
  <c r="DG5" i="11"/>
  <c r="DH5" i="11" l="1"/>
  <c r="DG6" i="11"/>
  <c r="DI5" i="11" l="1"/>
  <c r="DH6" i="11"/>
  <c r="DJ5" i="11" l="1"/>
  <c r="DI6" i="11"/>
  <c r="DJ4" i="11" l="1"/>
  <c r="DJ6" i="11"/>
  <c r="DK5" i="11"/>
  <c r="DK6" i="11" l="1"/>
  <c r="DL5" i="11"/>
  <c r="DL6" i="11" l="1"/>
  <c r="DM5" i="11"/>
  <c r="DN5" i="11" l="1"/>
  <c r="DM6" i="11"/>
  <c r="DN6" i="11" l="1"/>
  <c r="DO5" i="11"/>
  <c r="DP5" i="11" l="1"/>
  <c r="DO6" i="11"/>
  <c r="DQ5" i="11" l="1"/>
  <c r="DP6" i="11"/>
  <c r="DQ4" i="11" l="1"/>
  <c r="DR5" i="11"/>
  <c r="DQ6" i="11"/>
  <c r="DR6" i="11" l="1"/>
  <c r="DS5" i="11"/>
  <c r="DS6" i="11" l="1"/>
  <c r="DT5" i="11"/>
  <c r="DT6" i="11" l="1"/>
  <c r="DU5" i="11"/>
  <c r="DV5" i="11" l="1"/>
  <c r="DU6" i="11"/>
  <c r="DW5" i="11" l="1"/>
  <c r="DV6" i="11"/>
  <c r="DW6" i="11" l="1"/>
  <c r="DX5" i="11"/>
  <c r="DY5" i="11" l="1"/>
  <c r="DX6" i="11"/>
  <c r="DX4" i="11"/>
  <c r="DY6" i="11" l="1"/>
  <c r="DZ5" i="11"/>
  <c r="EA5" i="11" l="1"/>
  <c r="DZ6" i="11"/>
  <c r="EA6" i="11" l="1"/>
  <c r="EB5" i="11"/>
  <c r="EB6" i="11" l="1"/>
  <c r="EC5" i="11"/>
  <c r="EC6" i="11" l="1"/>
  <c r="ED5" i="11"/>
  <c r="ED6" i="11" l="1"/>
  <c r="EE5" i="11"/>
  <c r="EE6" i="11" l="1"/>
  <c r="EE4" i="11"/>
  <c r="EF5" i="11"/>
  <c r="EG5" i="11" l="1"/>
  <c r="EF6" i="11"/>
  <c r="EG6" i="11" l="1"/>
  <c r="EH5" i="11"/>
  <c r="EH6" i="11" l="1"/>
  <c r="EI5" i="11"/>
  <c r="EI6" i="11" l="1"/>
  <c r="EJ5" i="11"/>
  <c r="EJ6" i="11" l="1"/>
  <c r="EK5" i="11"/>
  <c r="EK6" i="11" l="1"/>
  <c r="EL5" i="11"/>
  <c r="EL6" i="11" l="1"/>
  <c r="EL4" i="11"/>
  <c r="EM5" i="11"/>
  <c r="EN5" i="11" l="1"/>
  <c r="EM6" i="11"/>
  <c r="EO5" i="11" l="1"/>
  <c r="EN6" i="11"/>
  <c r="EP5" i="11" l="1"/>
  <c r="EO6" i="11"/>
  <c r="EP6" i="11" l="1"/>
  <c r="EQ5" i="11"/>
  <c r="EQ6" i="11" l="1"/>
  <c r="ER5" i="11"/>
  <c r="ES5" i="11" l="1"/>
  <c r="ER6" i="11"/>
  <c r="ES6" i="11" l="1"/>
  <c r="ET5" i="11"/>
  <c r="ES4" i="11"/>
  <c r="ET6" i="11" l="1"/>
  <c r="EU5" i="11"/>
  <c r="EU6" i="11" l="1"/>
  <c r="EV5" i="11"/>
  <c r="EV6" i="11" l="1"/>
  <c r="EW5" i="11"/>
  <c r="EW6" i="11" l="1"/>
  <c r="EX5" i="11"/>
  <c r="EX6" i="11" l="1"/>
  <c r="EY5" i="11"/>
  <c r="EZ5" i="11" l="1"/>
  <c r="EY6" i="11"/>
  <c r="EZ4" i="11" l="1"/>
  <c r="EZ6" i="11"/>
  <c r="FA5" i="11"/>
  <c r="FB5" i="11" l="1"/>
  <c r="FA6" i="11"/>
  <c r="FC5" i="11" l="1"/>
  <c r="FB6" i="11"/>
  <c r="FC6" i="11" l="1"/>
  <c r="FD5" i="11"/>
  <c r="FD6" i="11" l="1"/>
  <c r="FE5" i="11"/>
  <c r="FE6" i="11" l="1"/>
  <c r="FF5" i="11"/>
  <c r="FG5" i="11" l="1"/>
  <c r="FF6" i="11"/>
  <c r="FG6" i="11" l="1"/>
  <c r="FH5" i="11"/>
  <c r="FG4" i="11"/>
  <c r="FI5" i="11" l="1"/>
  <c r="FH6" i="11"/>
  <c r="FJ5" i="11" l="1"/>
  <c r="FI6" i="11"/>
  <c r="FJ6" i="11" l="1"/>
  <c r="FK5" i="11"/>
  <c r="FK6" i="11" l="1"/>
  <c r="FL5" i="11"/>
  <c r="FM5" i="11" l="1"/>
  <c r="FL6" i="11"/>
  <c r="FM6" i="11" l="1"/>
  <c r="FN5" i="11"/>
  <c r="FN4" i="11" l="1"/>
  <c r="FO5" i="11"/>
  <c r="FN6" i="11"/>
  <c r="FO6" i="11" l="1"/>
  <c r="FP5" i="11"/>
  <c r="FP6" i="11" l="1"/>
  <c r="FQ5" i="11"/>
  <c r="FR5" i="11" l="1"/>
  <c r="FQ6" i="11"/>
  <c r="FS5" i="11" l="1"/>
  <c r="FR6" i="11"/>
  <c r="FT5" i="11" l="1"/>
  <c r="FS6" i="11"/>
  <c r="FT6" i="11" l="1"/>
  <c r="FU5" i="11"/>
  <c r="FU4" i="11" l="1"/>
  <c r="FU6" i="11"/>
  <c r="FV5" i="11"/>
  <c r="FW5" i="11" l="1"/>
  <c r="FV6" i="11"/>
  <c r="FW6" i="11" l="1"/>
  <c r="FX5" i="11"/>
  <c r="FX6" i="11" l="1"/>
  <c r="FY5" i="11"/>
  <c r="FY6" i="11" l="1"/>
  <c r="FZ5" i="11"/>
  <c r="GA5" i="11" l="1"/>
  <c r="FZ6" i="11"/>
  <c r="GB5" i="11" l="1"/>
  <c r="GA6" i="11"/>
  <c r="GB4" i="11" l="1"/>
  <c r="GC5" i="11"/>
  <c r="GB6" i="11"/>
  <c r="GD5" i="11" l="1"/>
  <c r="GC6" i="11"/>
  <c r="GD6" i="11" l="1"/>
  <c r="GE5" i="11"/>
  <c r="GE6" i="11" l="1"/>
  <c r="GF5" i="11"/>
  <c r="GF6" i="11" l="1"/>
  <c r="GG5" i="11"/>
  <c r="GG6" i="11" l="1"/>
  <c r="GH5" i="11"/>
  <c r="GI5" i="11" l="1"/>
  <c r="GH6" i="11"/>
  <c r="GI6" i="11" l="1"/>
  <c r="GJ5" i="11"/>
  <c r="GI4" i="11"/>
  <c r="GJ6" i="11" l="1"/>
  <c r="GK5" i="11"/>
  <c r="GL5" i="11" l="1"/>
  <c r="GK6" i="11"/>
  <c r="GM5" i="11" l="1"/>
  <c r="GL6" i="11"/>
  <c r="GN5" i="11" l="1"/>
  <c r="GM6" i="11"/>
  <c r="GN6" i="11" l="1"/>
  <c r="GO5" i="11"/>
  <c r="GO6" i="11" l="1"/>
  <c r="GP5" i="11"/>
  <c r="GQ5" i="11" l="1"/>
  <c r="GP4" i="11"/>
  <c r="GP6" i="11"/>
  <c r="GQ6" i="11" l="1"/>
  <c r="GR5" i="11"/>
  <c r="GR6" i="11" l="1"/>
  <c r="GS5" i="11"/>
  <c r="GS6" i="11" l="1"/>
  <c r="GT5" i="11"/>
  <c r="GT6" i="11" l="1"/>
  <c r="GU5" i="11"/>
  <c r="GV5" i="11" l="1"/>
  <c r="GU6" i="11"/>
  <c r="GV6" i="11" l="1"/>
  <c r="GW5" i="11"/>
  <c r="H32" i="11"/>
  <c r="GW6" i="11" l="1"/>
  <c r="GX5" i="11"/>
  <c r="GW4" i="11"/>
  <c r="GY5" i="11" l="1"/>
  <c r="GX6" i="11"/>
  <c r="GZ5" i="11" l="1"/>
  <c r="GY6" i="11"/>
  <c r="HA5" i="11" l="1"/>
  <c r="GZ6" i="11"/>
  <c r="HA6" i="11" l="1"/>
  <c r="HB5" i="11"/>
  <c r="HC5" i="11" l="1"/>
  <c r="HB6" i="11"/>
  <c r="HD5" i="11" l="1"/>
  <c r="HC6" i="11"/>
  <c r="HD4" i="11" l="1"/>
  <c r="HD6" i="11"/>
  <c r="HE5" i="11"/>
  <c r="HF5" i="11" l="1"/>
  <c r="HE6" i="11"/>
  <c r="HF6" i="11" l="1"/>
  <c r="HG5" i="11"/>
  <c r="HG6" i="11" l="1"/>
  <c r="HH5" i="11"/>
  <c r="HI5" i="11" l="1"/>
  <c r="HH6" i="11"/>
  <c r="HJ5" i="11" l="1"/>
  <c r="HI6" i="11"/>
  <c r="HJ6" i="11" l="1"/>
  <c r="HK5" i="11"/>
  <c r="HK4" i="11" l="1"/>
  <c r="HL5" i="11"/>
  <c r="HK6" i="11"/>
  <c r="HM5" i="11" l="1"/>
  <c r="HL6" i="11"/>
  <c r="HN5" i="11" l="1"/>
  <c r="HM6" i="11"/>
  <c r="HN6" i="11" l="1"/>
  <c r="HO5" i="11"/>
  <c r="HO6" i="11" l="1"/>
  <c r="HP5" i="11"/>
  <c r="HQ5" i="11" l="1"/>
  <c r="HQ6" i="11" s="1"/>
  <c r="HP6" i="11"/>
</calcChain>
</file>

<file path=xl/sharedStrings.xml><?xml version="1.0" encoding="utf-8"?>
<sst xmlns="http://schemas.openxmlformats.org/spreadsheetml/2006/main" count="84" uniqueCount="73">
  <si>
    <t>Task 4</t>
  </si>
  <si>
    <t>Task 5</t>
  </si>
  <si>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</si>
  <si>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</si>
  <si>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</si>
  <si>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</si>
  <si>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</si>
  <si>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</si>
  <si>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</si>
  <si>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</si>
  <si>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</si>
  <si>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</si>
  <si>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</si>
  <si>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</si>
  <si>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</si>
  <si>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</si>
  <si>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</si>
  <si>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</si>
  <si>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</si>
  <si>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</si>
  <si>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</si>
  <si>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</si>
  <si>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</si>
  <si>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</si>
  <si>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</si>
  <si>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</si>
  <si>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</si>
  <si>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date</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</si>
  <si>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</si>
  <si>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</si>
  <si>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</si>
  <si>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</si>
  <si>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</si>
  <si>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</si>
  <si>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</si>
  <si>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</si>
  <si>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</si>
  <si>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</si>
  <si>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</si>
  <si>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</si>
  <si>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</si>
  <si>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Modern Restaurant Jukebox Project</t>
  </si>
  <si>
    <t>Planning Stage</t>
  </si>
  <si>
    <t>Project Proposal</t>
  </si>
  <si>
    <t>Brandt Damman, Colton Glick, Matthew Hoskins, Nathan Tucker, Haadi Majeed</t>
  </si>
  <si>
    <t>Team</t>
  </si>
  <si>
    <t>Status Report</t>
  </si>
  <si>
    <t>Communincations</t>
  </si>
  <si>
    <t>Nate</t>
  </si>
  <si>
    <t>Budgeting</t>
  </si>
  <si>
    <t>Matt &amp; Brandt</t>
  </si>
  <si>
    <t>Design Stage</t>
  </si>
  <si>
    <t>Development Stage</t>
  </si>
  <si>
    <t>Deployment Stage</t>
  </si>
  <si>
    <t>UI Design</t>
  </si>
  <si>
    <t>Backend Design</t>
  </si>
  <si>
    <t>Gantt Chart</t>
  </si>
  <si>
    <t>Haadi</t>
  </si>
  <si>
    <t>Advertising</t>
  </si>
  <si>
    <t>Server Setup</t>
  </si>
  <si>
    <t>Testing</t>
  </si>
  <si>
    <t>Templatize</t>
  </si>
  <si>
    <t>Contract template</t>
  </si>
  <si>
    <t>Contract Specifications</t>
  </si>
  <si>
    <t>Implementation System</t>
  </si>
  <si>
    <t>Risk and Mitigation</t>
  </si>
  <si>
    <t>Colton</t>
  </si>
  <si>
    <t>Requirements</t>
  </si>
  <si>
    <t>UML Diagram</t>
  </si>
  <si>
    <t>Matt</t>
  </si>
  <si>
    <t>Introduction</t>
  </si>
  <si>
    <t>Timeline</t>
  </si>
  <si>
    <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</si>
</sst>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165" fontId="9" fillId="3" borderId="2" xfId="10" applyFill="1">
      <alignment horizontal="center" vertical="center"/>
    </xf>
    <xf numFmtId="165" fontId="9" fillId="4" borderId="2" xfId="10" applyFill="1">
      <alignment horizontal="center" vertical="center"/>
    </xf>
    <xf numFmtId="165" fontId="9" fillId="11" borderId="2" xfId="10" applyFill="1">
      <alignment horizontal="center" vertical="center"/>
    </xf>
    <xf numFmtId="165" fontId="9" fillId="10" borderId="2" xfId="10" applyFill="1">
      <alignment horizontal="center" vertical="center"/>
    </xf>
    <xf numFmtId="165"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10" fillId="0" borderId="0" xfId="7" applyAlignment="1">
      <alignment vertical="top"/>
    </xf>
    <xf numFmtId="0" fontId="9" fillId="0" borderId="0" xfId="8">
      <alignment horizontal="right" indent="1"/>
    </xf>
    <xf numFmtId="0" fontId="9" fillId="0" borderId="7" xfId="8" applyBorder="1">
      <alignment horizontal="right" indent="1"/>
    </xf>
    <xf numFmtId="0" fontId="0" fillId="0" borderId="10" xfId="0" applyBorder="1"/>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9" fillId="0" borderId="3" xfId="9">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605A96"/>
      <color rgb="FF604996"/>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Q41"/>
  <sheetViews>
    <sheetView showGridLines="0" tabSelected="1" showRuler="0" zoomScaleNormal="100" zoomScalePageLayoutView="70" workbookViewId="0">
      <pane ySplit="6" topLeftCell="A8" activePane="bottomLeft" state="frozen"/>
      <selection pane="bottomLeft" activeCell="AA19" sqref="AA19"/>
    </sheetView>
  </sheetViews>
  <sheetFormatPr defaultRowHeight="30" customHeight="1" x14ac:dyDescent="0.25"/>
  <cols>
    <col min="1" max="1" width="2.7109375" style="58" customWidth="1"/>
    <col min="2" max="2" width="24.71093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225" width="2.5703125" customWidth="1"/>
  </cols>
  <sheetData>
    <row r="1" spans="1:225" ht="30" customHeight="1" x14ac:dyDescent="0.45">
      <c r="A1" s="59" t="s">
        <v>32</v>
      </c>
      <c r="B1" s="63" t="s">
        <v>41</v>
      </c>
      <c r="C1" s="1"/>
      <c r="D1" s="2"/>
      <c r="E1" s="4"/>
      <c r="F1" s="47"/>
      <c r="H1" s="2"/>
      <c r="I1" s="14"/>
    </row>
    <row r="2" spans="1:225" ht="30" hidden="1" customHeight="1" x14ac:dyDescent="0.3">
      <c r="A2" s="58" t="s">
        <v>26</v>
      </c>
      <c r="B2" s="64" t="s">
        <v>44</v>
      </c>
      <c r="I2" s="61"/>
    </row>
    <row r="3" spans="1:225" ht="30" customHeight="1" x14ac:dyDescent="0.25">
      <c r="A3" s="58" t="s">
        <v>33</v>
      </c>
      <c r="B3" s="84"/>
      <c r="C3" s="85" t="s">
        <v>3</v>
      </c>
      <c r="D3" s="86"/>
      <c r="E3" s="91">
        <v>44228</v>
      </c>
      <c r="F3" s="91"/>
    </row>
    <row r="4" spans="1:225" ht="30" customHeight="1" x14ac:dyDescent="0.25">
      <c r="A4" s="59" t="s">
        <v>34</v>
      </c>
      <c r="C4" s="85" t="s">
        <v>10</v>
      </c>
      <c r="D4" s="86"/>
      <c r="E4" s="7">
        <v>1</v>
      </c>
      <c r="I4" s="88">
        <f>I5</f>
        <v>44228</v>
      </c>
      <c r="J4" s="89"/>
      <c r="K4" s="89"/>
      <c r="L4" s="89"/>
      <c r="M4" s="89"/>
      <c r="N4" s="89"/>
      <c r="O4" s="90"/>
      <c r="P4" s="88">
        <f>P5</f>
        <v>44235</v>
      </c>
      <c r="Q4" s="89"/>
      <c r="R4" s="89"/>
      <c r="S4" s="89"/>
      <c r="T4" s="89"/>
      <c r="U4" s="89"/>
      <c r="V4" s="90"/>
      <c r="W4" s="88">
        <f>W5</f>
        <v>44242</v>
      </c>
      <c r="X4" s="89"/>
      <c r="Y4" s="89"/>
      <c r="Z4" s="89"/>
      <c r="AA4" s="89"/>
      <c r="AB4" s="89"/>
      <c r="AC4" s="90"/>
      <c r="AD4" s="88">
        <f>AD5</f>
        <v>44249</v>
      </c>
      <c r="AE4" s="89"/>
      <c r="AF4" s="89"/>
      <c r="AG4" s="89"/>
      <c r="AH4" s="89"/>
      <c r="AI4" s="89"/>
      <c r="AJ4" s="90"/>
      <c r="AK4" s="88">
        <f>AK5</f>
        <v>44256</v>
      </c>
      <c r="AL4" s="89"/>
      <c r="AM4" s="89"/>
      <c r="AN4" s="89"/>
      <c r="AO4" s="89"/>
      <c r="AP4" s="89"/>
      <c r="AQ4" s="90"/>
      <c r="AR4" s="88">
        <f>AR5</f>
        <v>44263</v>
      </c>
      <c r="AS4" s="89"/>
      <c r="AT4" s="89"/>
      <c r="AU4" s="89"/>
      <c r="AV4" s="89"/>
      <c r="AW4" s="89"/>
      <c r="AX4" s="90"/>
      <c r="AY4" s="88">
        <f>AY5</f>
        <v>44270</v>
      </c>
      <c r="AZ4" s="89"/>
      <c r="BA4" s="89"/>
      <c r="BB4" s="89"/>
      <c r="BC4" s="89"/>
      <c r="BD4" s="89"/>
      <c r="BE4" s="90"/>
      <c r="BF4" s="88">
        <f>BF5</f>
        <v>44277</v>
      </c>
      <c r="BG4" s="89"/>
      <c r="BH4" s="89"/>
      <c r="BI4" s="89"/>
      <c r="BJ4" s="89"/>
      <c r="BK4" s="89"/>
      <c r="BL4" s="90"/>
      <c r="BM4" s="88">
        <f t="shared" ref="BM4" si="0">BM5</f>
        <v>44284</v>
      </c>
      <c r="BN4" s="89"/>
      <c r="BO4" s="89"/>
      <c r="BP4" s="89"/>
      <c r="BQ4" s="89"/>
      <c r="BR4" s="89"/>
      <c r="BS4" s="90"/>
      <c r="BT4" s="88">
        <f t="shared" ref="BT4" si="1">BT5</f>
        <v>44291</v>
      </c>
      <c r="BU4" s="89"/>
      <c r="BV4" s="89"/>
      <c r="BW4" s="89"/>
      <c r="BX4" s="89"/>
      <c r="BY4" s="89"/>
      <c r="BZ4" s="90"/>
      <c r="CA4" s="88">
        <f t="shared" ref="CA4" si="2">CA5</f>
        <v>44298</v>
      </c>
      <c r="CB4" s="89"/>
      <c r="CC4" s="89"/>
      <c r="CD4" s="89"/>
      <c r="CE4" s="89"/>
      <c r="CF4" s="89"/>
      <c r="CG4" s="90"/>
      <c r="CH4" s="88">
        <f t="shared" ref="CH4" si="3">CH5</f>
        <v>44305</v>
      </c>
      <c r="CI4" s="89"/>
      <c r="CJ4" s="89"/>
      <c r="CK4" s="89"/>
      <c r="CL4" s="89"/>
      <c r="CM4" s="89"/>
      <c r="CN4" s="90"/>
      <c r="CO4" s="88">
        <f t="shared" ref="CO4" si="4">CO5</f>
        <v>44312</v>
      </c>
      <c r="CP4" s="89"/>
      <c r="CQ4" s="89"/>
      <c r="CR4" s="89"/>
      <c r="CS4" s="89"/>
      <c r="CT4" s="89"/>
      <c r="CU4" s="90"/>
      <c r="CV4" s="88">
        <f t="shared" ref="CV4" si="5">CV5</f>
        <v>44319</v>
      </c>
      <c r="CW4" s="89"/>
      <c r="CX4" s="89"/>
      <c r="CY4" s="89"/>
      <c r="CZ4" s="89"/>
      <c r="DA4" s="89"/>
      <c r="DB4" s="90"/>
      <c r="DC4" s="88">
        <f t="shared" ref="DC4" si="6">DC5</f>
        <v>44326</v>
      </c>
      <c r="DD4" s="89"/>
      <c r="DE4" s="89"/>
      <c r="DF4" s="89"/>
      <c r="DG4" s="89"/>
      <c r="DH4" s="89"/>
      <c r="DI4" s="90"/>
      <c r="DJ4" s="88">
        <f t="shared" ref="DJ4" si="7">DJ5</f>
        <v>44333</v>
      </c>
      <c r="DK4" s="89"/>
      <c r="DL4" s="89"/>
      <c r="DM4" s="89"/>
      <c r="DN4" s="89"/>
      <c r="DO4" s="89"/>
      <c r="DP4" s="90"/>
      <c r="DQ4" s="88">
        <f t="shared" ref="DQ4" si="8">DQ5</f>
        <v>44340</v>
      </c>
      <c r="DR4" s="89"/>
      <c r="DS4" s="89"/>
      <c r="DT4" s="89"/>
      <c r="DU4" s="89"/>
      <c r="DV4" s="89"/>
      <c r="DW4" s="90"/>
      <c r="DX4" s="88">
        <f t="shared" ref="DX4" si="9">DX5</f>
        <v>44347</v>
      </c>
      <c r="DY4" s="89"/>
      <c r="DZ4" s="89"/>
      <c r="EA4" s="89"/>
      <c r="EB4" s="89"/>
      <c r="EC4" s="89"/>
      <c r="ED4" s="90"/>
      <c r="EE4" s="88">
        <f t="shared" ref="EE4" si="10">EE5</f>
        <v>44354</v>
      </c>
      <c r="EF4" s="89"/>
      <c r="EG4" s="89"/>
      <c r="EH4" s="89"/>
      <c r="EI4" s="89"/>
      <c r="EJ4" s="89"/>
      <c r="EK4" s="90"/>
      <c r="EL4" s="88">
        <f t="shared" ref="EL4" si="11">EL5</f>
        <v>44361</v>
      </c>
      <c r="EM4" s="89"/>
      <c r="EN4" s="89"/>
      <c r="EO4" s="89"/>
      <c r="EP4" s="89"/>
      <c r="EQ4" s="89"/>
      <c r="ER4" s="90"/>
      <c r="ES4" s="88">
        <f t="shared" ref="ES4" si="12">ES5</f>
        <v>44368</v>
      </c>
      <c r="ET4" s="89"/>
      <c r="EU4" s="89"/>
      <c r="EV4" s="89"/>
      <c r="EW4" s="89"/>
      <c r="EX4" s="89"/>
      <c r="EY4" s="90"/>
      <c r="EZ4" s="88">
        <f t="shared" ref="EZ4" si="13">EZ5</f>
        <v>44375</v>
      </c>
      <c r="FA4" s="89"/>
      <c r="FB4" s="89"/>
      <c r="FC4" s="89"/>
      <c r="FD4" s="89"/>
      <c r="FE4" s="89"/>
      <c r="FF4" s="90"/>
      <c r="FG4" s="88">
        <f t="shared" ref="FG4" si="14">FG5</f>
        <v>44382</v>
      </c>
      <c r="FH4" s="89"/>
      <c r="FI4" s="89"/>
      <c r="FJ4" s="89"/>
      <c r="FK4" s="89"/>
      <c r="FL4" s="89"/>
      <c r="FM4" s="90"/>
      <c r="FN4" s="88">
        <f t="shared" ref="FN4" si="15">FN5</f>
        <v>44389</v>
      </c>
      <c r="FO4" s="89"/>
      <c r="FP4" s="89"/>
      <c r="FQ4" s="89"/>
      <c r="FR4" s="89"/>
      <c r="FS4" s="89"/>
      <c r="FT4" s="90"/>
      <c r="FU4" s="88">
        <f t="shared" ref="FU4" si="16">FU5</f>
        <v>44396</v>
      </c>
      <c r="FV4" s="89"/>
      <c r="FW4" s="89"/>
      <c r="FX4" s="89"/>
      <c r="FY4" s="89"/>
      <c r="FZ4" s="89"/>
      <c r="GA4" s="90"/>
      <c r="GB4" s="88">
        <f t="shared" ref="GB4" si="17">GB5</f>
        <v>44403</v>
      </c>
      <c r="GC4" s="89"/>
      <c r="GD4" s="89"/>
      <c r="GE4" s="89"/>
      <c r="GF4" s="89"/>
      <c r="GG4" s="89"/>
      <c r="GH4" s="90"/>
      <c r="GI4" s="88">
        <f t="shared" ref="GI4" si="18">GI5</f>
        <v>44410</v>
      </c>
      <c r="GJ4" s="89"/>
      <c r="GK4" s="89"/>
      <c r="GL4" s="89"/>
      <c r="GM4" s="89"/>
      <c r="GN4" s="89"/>
      <c r="GO4" s="90"/>
      <c r="GP4" s="88">
        <f t="shared" ref="GP4" si="19">GP5</f>
        <v>44417</v>
      </c>
      <c r="GQ4" s="89"/>
      <c r="GR4" s="89"/>
      <c r="GS4" s="89"/>
      <c r="GT4" s="89"/>
      <c r="GU4" s="89"/>
      <c r="GV4" s="90"/>
      <c r="GW4" s="88">
        <f t="shared" ref="GW4" si="20">GW5</f>
        <v>44424</v>
      </c>
      <c r="GX4" s="89"/>
      <c r="GY4" s="89"/>
      <c r="GZ4" s="89"/>
      <c r="HA4" s="89"/>
      <c r="HB4" s="89"/>
      <c r="HC4" s="90"/>
      <c r="HD4" s="88">
        <f t="shared" ref="HD4" si="21">HD5</f>
        <v>44431</v>
      </c>
      <c r="HE4" s="89"/>
      <c r="HF4" s="89"/>
      <c r="HG4" s="89"/>
      <c r="HH4" s="89"/>
      <c r="HI4" s="89"/>
      <c r="HJ4" s="90"/>
      <c r="HK4" s="88">
        <f t="shared" ref="HK4" si="22">HK5</f>
        <v>44438</v>
      </c>
      <c r="HL4" s="89"/>
      <c r="HM4" s="89"/>
      <c r="HN4" s="89"/>
      <c r="HO4" s="89"/>
      <c r="HP4" s="89"/>
      <c r="HQ4" s="90"/>
    </row>
    <row r="5" spans="1:225" ht="15" customHeight="1" x14ac:dyDescent="0.25">
      <c r="A5" s="59" t="s">
        <v>35</v>
      </c>
      <c r="B5" s="87"/>
      <c r="C5" s="87"/>
      <c r="D5" s="87"/>
      <c r="E5" s="87"/>
      <c r="F5" s="87"/>
      <c r="G5" s="87"/>
      <c r="I5" s="11">
        <f>Project_Start-WEEKDAY(Project_Start,1)+2+7*(Display_Week-1)</f>
        <v>44228</v>
      </c>
      <c r="J5" s="10">
        <f>I5+1</f>
        <v>44229</v>
      </c>
      <c r="K5" s="10">
        <f t="shared" ref="K5:AX5" si="23">J5+1</f>
        <v>44230</v>
      </c>
      <c r="L5" s="10">
        <f t="shared" si="23"/>
        <v>44231</v>
      </c>
      <c r="M5" s="10">
        <f t="shared" si="23"/>
        <v>44232</v>
      </c>
      <c r="N5" s="10">
        <f t="shared" si="23"/>
        <v>44233</v>
      </c>
      <c r="O5" s="12">
        <f t="shared" si="23"/>
        <v>44234</v>
      </c>
      <c r="P5" s="11">
        <f>O5+1</f>
        <v>44235</v>
      </c>
      <c r="Q5" s="10">
        <f>P5+1</f>
        <v>44236</v>
      </c>
      <c r="R5" s="10">
        <f t="shared" si="23"/>
        <v>44237</v>
      </c>
      <c r="S5" s="10">
        <f t="shared" si="23"/>
        <v>44238</v>
      </c>
      <c r="T5" s="10">
        <f t="shared" si="23"/>
        <v>44239</v>
      </c>
      <c r="U5" s="10">
        <f t="shared" si="23"/>
        <v>44240</v>
      </c>
      <c r="V5" s="12">
        <f t="shared" si="23"/>
        <v>44241</v>
      </c>
      <c r="W5" s="11">
        <f>V5+1</f>
        <v>44242</v>
      </c>
      <c r="X5" s="10">
        <f>W5+1</f>
        <v>44243</v>
      </c>
      <c r="Y5" s="10">
        <f t="shared" si="23"/>
        <v>44244</v>
      </c>
      <c r="Z5" s="10">
        <f t="shared" si="23"/>
        <v>44245</v>
      </c>
      <c r="AA5" s="10">
        <f t="shared" si="23"/>
        <v>44246</v>
      </c>
      <c r="AB5" s="10">
        <f t="shared" si="23"/>
        <v>44247</v>
      </c>
      <c r="AC5" s="12">
        <f t="shared" si="23"/>
        <v>44248</v>
      </c>
      <c r="AD5" s="11">
        <f>AC5+1</f>
        <v>44249</v>
      </c>
      <c r="AE5" s="10">
        <f>AD5+1</f>
        <v>44250</v>
      </c>
      <c r="AF5" s="10">
        <f t="shared" si="23"/>
        <v>44251</v>
      </c>
      <c r="AG5" s="10">
        <f t="shared" si="23"/>
        <v>44252</v>
      </c>
      <c r="AH5" s="10">
        <f t="shared" si="23"/>
        <v>44253</v>
      </c>
      <c r="AI5" s="10">
        <f t="shared" si="23"/>
        <v>44254</v>
      </c>
      <c r="AJ5" s="12">
        <f t="shared" si="23"/>
        <v>44255</v>
      </c>
      <c r="AK5" s="11">
        <f>AJ5+1</f>
        <v>44256</v>
      </c>
      <c r="AL5" s="10">
        <f>AK5+1</f>
        <v>44257</v>
      </c>
      <c r="AM5" s="10">
        <f t="shared" si="23"/>
        <v>44258</v>
      </c>
      <c r="AN5" s="10">
        <f t="shared" si="23"/>
        <v>44259</v>
      </c>
      <c r="AO5" s="10">
        <f t="shared" si="23"/>
        <v>44260</v>
      </c>
      <c r="AP5" s="10">
        <f t="shared" si="23"/>
        <v>44261</v>
      </c>
      <c r="AQ5" s="12">
        <f t="shared" si="23"/>
        <v>44262</v>
      </c>
      <c r="AR5" s="11">
        <f>AQ5+1</f>
        <v>44263</v>
      </c>
      <c r="AS5" s="10">
        <f>AR5+1</f>
        <v>44264</v>
      </c>
      <c r="AT5" s="10">
        <f t="shared" si="23"/>
        <v>44265</v>
      </c>
      <c r="AU5" s="10">
        <f t="shared" si="23"/>
        <v>44266</v>
      </c>
      <c r="AV5" s="10">
        <f t="shared" si="23"/>
        <v>44267</v>
      </c>
      <c r="AW5" s="10">
        <f t="shared" si="23"/>
        <v>44268</v>
      </c>
      <c r="AX5" s="12">
        <f t="shared" si="23"/>
        <v>44269</v>
      </c>
      <c r="AY5" s="11">
        <f>AX5+1</f>
        <v>44270</v>
      </c>
      <c r="AZ5" s="10">
        <f>AY5+1</f>
        <v>44271</v>
      </c>
      <c r="BA5" s="10">
        <f t="shared" ref="BA5:BE5" si="24">AZ5+1</f>
        <v>44272</v>
      </c>
      <c r="BB5" s="10">
        <f t="shared" si="24"/>
        <v>44273</v>
      </c>
      <c r="BC5" s="10">
        <f t="shared" si="24"/>
        <v>44274</v>
      </c>
      <c r="BD5" s="10">
        <f t="shared" si="24"/>
        <v>44275</v>
      </c>
      <c r="BE5" s="12">
        <f t="shared" si="24"/>
        <v>44276</v>
      </c>
      <c r="BF5" s="11">
        <f>BE5+1</f>
        <v>44277</v>
      </c>
      <c r="BG5" s="10">
        <f>BF5+1</f>
        <v>44278</v>
      </c>
      <c r="BH5" s="10">
        <f t="shared" ref="BH5:BL5" si="25">BG5+1</f>
        <v>44279</v>
      </c>
      <c r="BI5" s="10">
        <f t="shared" si="25"/>
        <v>44280</v>
      </c>
      <c r="BJ5" s="10">
        <f t="shared" si="25"/>
        <v>44281</v>
      </c>
      <c r="BK5" s="10">
        <f t="shared" si="25"/>
        <v>44282</v>
      </c>
      <c r="BL5" s="12">
        <f t="shared" si="25"/>
        <v>44283</v>
      </c>
      <c r="BM5" s="12">
        <f t="shared" ref="BM5" si="26">BL5+1</f>
        <v>44284</v>
      </c>
      <c r="BN5" s="12">
        <f t="shared" ref="BN5" si="27">BM5+1</f>
        <v>44285</v>
      </c>
      <c r="BO5" s="12">
        <f t="shared" ref="BO5" si="28">BN5+1</f>
        <v>44286</v>
      </c>
      <c r="BP5" s="12">
        <f t="shared" ref="BP5" si="29">BO5+1</f>
        <v>44287</v>
      </c>
      <c r="BQ5" s="12">
        <f t="shared" ref="BQ5" si="30">BP5+1</f>
        <v>44288</v>
      </c>
      <c r="BR5" s="12">
        <f t="shared" ref="BR5" si="31">BQ5+1</f>
        <v>44289</v>
      </c>
      <c r="BS5" s="12">
        <f t="shared" ref="BS5" si="32">BR5+1</f>
        <v>44290</v>
      </c>
      <c r="BT5" s="12">
        <f t="shared" ref="BT5" si="33">BS5+1</f>
        <v>44291</v>
      </c>
      <c r="BU5" s="12">
        <f t="shared" ref="BU5" si="34">BT5+1</f>
        <v>44292</v>
      </c>
      <c r="BV5" s="12">
        <f t="shared" ref="BV5" si="35">BU5+1</f>
        <v>44293</v>
      </c>
      <c r="BW5" s="12">
        <f t="shared" ref="BW5" si="36">BV5+1</f>
        <v>44294</v>
      </c>
      <c r="BX5" s="12">
        <f t="shared" ref="BX5" si="37">BW5+1</f>
        <v>44295</v>
      </c>
      <c r="BY5" s="12">
        <f t="shared" ref="BY5" si="38">BX5+1</f>
        <v>44296</v>
      </c>
      <c r="BZ5" s="12">
        <f t="shared" ref="BZ5" si="39">BY5+1</f>
        <v>44297</v>
      </c>
      <c r="CA5" s="12">
        <f t="shared" ref="CA5" si="40">BZ5+1</f>
        <v>44298</v>
      </c>
      <c r="CB5" s="12">
        <f t="shared" ref="CB5" si="41">CA5+1</f>
        <v>44299</v>
      </c>
      <c r="CC5" s="12">
        <f t="shared" ref="CC5" si="42">CB5+1</f>
        <v>44300</v>
      </c>
      <c r="CD5" s="12">
        <f t="shared" ref="CD5" si="43">CC5+1</f>
        <v>44301</v>
      </c>
      <c r="CE5" s="12">
        <f t="shared" ref="CE5" si="44">CD5+1</f>
        <v>44302</v>
      </c>
      <c r="CF5" s="12">
        <f t="shared" ref="CF5" si="45">CE5+1</f>
        <v>44303</v>
      </c>
      <c r="CG5" s="12">
        <f t="shared" ref="CG5" si="46">CF5+1</f>
        <v>44304</v>
      </c>
      <c r="CH5" s="12">
        <f t="shared" ref="CH5" si="47">CG5+1</f>
        <v>44305</v>
      </c>
      <c r="CI5" s="12">
        <f t="shared" ref="CI5" si="48">CH5+1</f>
        <v>44306</v>
      </c>
      <c r="CJ5" s="12">
        <f t="shared" ref="CJ5" si="49">CI5+1</f>
        <v>44307</v>
      </c>
      <c r="CK5" s="12">
        <f t="shared" ref="CK5" si="50">CJ5+1</f>
        <v>44308</v>
      </c>
      <c r="CL5" s="12">
        <f t="shared" ref="CL5" si="51">CK5+1</f>
        <v>44309</v>
      </c>
      <c r="CM5" s="12">
        <f t="shared" ref="CM5" si="52">CL5+1</f>
        <v>44310</v>
      </c>
      <c r="CN5" s="12">
        <f t="shared" ref="CN5" si="53">CM5+1</f>
        <v>44311</v>
      </c>
      <c r="CO5" s="12">
        <f t="shared" ref="CO5" si="54">CN5+1</f>
        <v>44312</v>
      </c>
      <c r="CP5" s="12">
        <f t="shared" ref="CP5" si="55">CO5+1</f>
        <v>44313</v>
      </c>
      <c r="CQ5" s="12">
        <f t="shared" ref="CQ5" si="56">CP5+1</f>
        <v>44314</v>
      </c>
      <c r="CR5" s="12">
        <f t="shared" ref="CR5" si="57">CQ5+1</f>
        <v>44315</v>
      </c>
      <c r="CS5" s="12">
        <f t="shared" ref="CS5" si="58">CR5+1</f>
        <v>44316</v>
      </c>
      <c r="CT5" s="12">
        <f t="shared" ref="CT5" si="59">CS5+1</f>
        <v>44317</v>
      </c>
      <c r="CU5" s="12">
        <f t="shared" ref="CU5" si="60">CT5+1</f>
        <v>44318</v>
      </c>
      <c r="CV5" s="12">
        <f t="shared" ref="CV5" si="61">CU5+1</f>
        <v>44319</v>
      </c>
      <c r="CW5" s="12">
        <f t="shared" ref="CW5" si="62">CV5+1</f>
        <v>44320</v>
      </c>
      <c r="CX5" s="12">
        <f t="shared" ref="CX5" si="63">CW5+1</f>
        <v>44321</v>
      </c>
      <c r="CY5" s="12">
        <f t="shared" ref="CY5" si="64">CX5+1</f>
        <v>44322</v>
      </c>
      <c r="CZ5" s="12">
        <f t="shared" ref="CZ5" si="65">CY5+1</f>
        <v>44323</v>
      </c>
      <c r="DA5" s="12">
        <f t="shared" ref="DA5" si="66">CZ5+1</f>
        <v>44324</v>
      </c>
      <c r="DB5" s="12">
        <f t="shared" ref="DB5" si="67">DA5+1</f>
        <v>44325</v>
      </c>
      <c r="DC5" s="12">
        <f t="shared" ref="DC5" si="68">DB5+1</f>
        <v>44326</v>
      </c>
      <c r="DD5" s="12">
        <f t="shared" ref="DD5" si="69">DC5+1</f>
        <v>44327</v>
      </c>
      <c r="DE5" s="12">
        <f t="shared" ref="DE5" si="70">DD5+1</f>
        <v>44328</v>
      </c>
      <c r="DF5" s="12">
        <f t="shared" ref="DF5" si="71">DE5+1</f>
        <v>44329</v>
      </c>
      <c r="DG5" s="12">
        <f t="shared" ref="DG5" si="72">DF5+1</f>
        <v>44330</v>
      </c>
      <c r="DH5" s="12">
        <f t="shared" ref="DH5" si="73">DG5+1</f>
        <v>44331</v>
      </c>
      <c r="DI5" s="12">
        <f t="shared" ref="DI5" si="74">DH5+1</f>
        <v>44332</v>
      </c>
      <c r="DJ5" s="12">
        <f t="shared" ref="DJ5" si="75">DI5+1</f>
        <v>44333</v>
      </c>
      <c r="DK5" s="12">
        <f t="shared" ref="DK5" si="76">DJ5+1</f>
        <v>44334</v>
      </c>
      <c r="DL5" s="12">
        <f t="shared" ref="DL5" si="77">DK5+1</f>
        <v>44335</v>
      </c>
      <c r="DM5" s="12">
        <f t="shared" ref="DM5" si="78">DL5+1</f>
        <v>44336</v>
      </c>
      <c r="DN5" s="12">
        <f t="shared" ref="DN5" si="79">DM5+1</f>
        <v>44337</v>
      </c>
      <c r="DO5" s="12">
        <f t="shared" ref="DO5" si="80">DN5+1</f>
        <v>44338</v>
      </c>
      <c r="DP5" s="12">
        <f t="shared" ref="DP5" si="81">DO5+1</f>
        <v>44339</v>
      </c>
      <c r="DQ5" s="12">
        <f t="shared" ref="DQ5" si="82">DP5+1</f>
        <v>44340</v>
      </c>
      <c r="DR5" s="12">
        <f t="shared" ref="DR5" si="83">DQ5+1</f>
        <v>44341</v>
      </c>
      <c r="DS5" s="12">
        <f t="shared" ref="DS5" si="84">DR5+1</f>
        <v>44342</v>
      </c>
      <c r="DT5" s="12">
        <f t="shared" ref="DT5" si="85">DS5+1</f>
        <v>44343</v>
      </c>
      <c r="DU5" s="12">
        <f t="shared" ref="DU5" si="86">DT5+1</f>
        <v>44344</v>
      </c>
      <c r="DV5" s="12">
        <f t="shared" ref="DV5" si="87">DU5+1</f>
        <v>44345</v>
      </c>
      <c r="DW5" s="12">
        <f t="shared" ref="DW5" si="88">DV5+1</f>
        <v>44346</v>
      </c>
      <c r="DX5" s="12">
        <f t="shared" ref="DX5" si="89">DW5+1</f>
        <v>44347</v>
      </c>
      <c r="DY5" s="12">
        <f t="shared" ref="DY5" si="90">DX5+1</f>
        <v>44348</v>
      </c>
      <c r="DZ5" s="12">
        <f t="shared" ref="DZ5" si="91">DY5+1</f>
        <v>44349</v>
      </c>
      <c r="EA5" s="12">
        <f t="shared" ref="EA5" si="92">DZ5+1</f>
        <v>44350</v>
      </c>
      <c r="EB5" s="12">
        <f t="shared" ref="EB5" si="93">EA5+1</f>
        <v>44351</v>
      </c>
      <c r="EC5" s="12">
        <f t="shared" ref="EC5" si="94">EB5+1</f>
        <v>44352</v>
      </c>
      <c r="ED5" s="12">
        <f t="shared" ref="ED5" si="95">EC5+1</f>
        <v>44353</v>
      </c>
      <c r="EE5" s="12">
        <f t="shared" ref="EE5" si="96">ED5+1</f>
        <v>44354</v>
      </c>
      <c r="EF5" s="12">
        <f t="shared" ref="EF5" si="97">EE5+1</f>
        <v>44355</v>
      </c>
      <c r="EG5" s="12">
        <f t="shared" ref="EG5" si="98">EF5+1</f>
        <v>44356</v>
      </c>
      <c r="EH5" s="12">
        <f t="shared" ref="EH5" si="99">EG5+1</f>
        <v>44357</v>
      </c>
      <c r="EI5" s="12">
        <f t="shared" ref="EI5" si="100">EH5+1</f>
        <v>44358</v>
      </c>
      <c r="EJ5" s="12">
        <f t="shared" ref="EJ5" si="101">EI5+1</f>
        <v>44359</v>
      </c>
      <c r="EK5" s="12">
        <f t="shared" ref="EK5" si="102">EJ5+1</f>
        <v>44360</v>
      </c>
      <c r="EL5" s="12">
        <f t="shared" ref="EL5" si="103">EK5+1</f>
        <v>44361</v>
      </c>
      <c r="EM5" s="12">
        <f t="shared" ref="EM5" si="104">EL5+1</f>
        <v>44362</v>
      </c>
      <c r="EN5" s="12">
        <f t="shared" ref="EN5" si="105">EM5+1</f>
        <v>44363</v>
      </c>
      <c r="EO5" s="12">
        <f t="shared" ref="EO5" si="106">EN5+1</f>
        <v>44364</v>
      </c>
      <c r="EP5" s="12">
        <f t="shared" ref="EP5" si="107">EO5+1</f>
        <v>44365</v>
      </c>
      <c r="EQ5" s="12">
        <f t="shared" ref="EQ5" si="108">EP5+1</f>
        <v>44366</v>
      </c>
      <c r="ER5" s="12">
        <f t="shared" ref="ER5" si="109">EQ5+1</f>
        <v>44367</v>
      </c>
      <c r="ES5" s="12">
        <f t="shared" ref="ES5" si="110">ER5+1</f>
        <v>44368</v>
      </c>
      <c r="ET5" s="12">
        <f t="shared" ref="ET5" si="111">ES5+1</f>
        <v>44369</v>
      </c>
      <c r="EU5" s="12">
        <f t="shared" ref="EU5" si="112">ET5+1</f>
        <v>44370</v>
      </c>
      <c r="EV5" s="12">
        <f t="shared" ref="EV5" si="113">EU5+1</f>
        <v>44371</v>
      </c>
      <c r="EW5" s="12">
        <f t="shared" ref="EW5" si="114">EV5+1</f>
        <v>44372</v>
      </c>
      <c r="EX5" s="12">
        <f t="shared" ref="EX5" si="115">EW5+1</f>
        <v>44373</v>
      </c>
      <c r="EY5" s="12">
        <f t="shared" ref="EY5" si="116">EX5+1</f>
        <v>44374</v>
      </c>
      <c r="EZ5" s="12">
        <f t="shared" ref="EZ5" si="117">EY5+1</f>
        <v>44375</v>
      </c>
      <c r="FA5" s="12">
        <f t="shared" ref="FA5" si="118">EZ5+1</f>
        <v>44376</v>
      </c>
      <c r="FB5" s="12">
        <f t="shared" ref="FB5" si="119">FA5+1</f>
        <v>44377</v>
      </c>
      <c r="FC5" s="12">
        <f t="shared" ref="FC5" si="120">FB5+1</f>
        <v>44378</v>
      </c>
      <c r="FD5" s="12">
        <f t="shared" ref="FD5" si="121">FC5+1</f>
        <v>44379</v>
      </c>
      <c r="FE5" s="12">
        <f t="shared" ref="FE5" si="122">FD5+1</f>
        <v>44380</v>
      </c>
      <c r="FF5" s="12">
        <f t="shared" ref="FF5" si="123">FE5+1</f>
        <v>44381</v>
      </c>
      <c r="FG5" s="12">
        <f t="shared" ref="FG5" si="124">FF5+1</f>
        <v>44382</v>
      </c>
      <c r="FH5" s="12">
        <f t="shared" ref="FH5" si="125">FG5+1</f>
        <v>44383</v>
      </c>
      <c r="FI5" s="12">
        <f t="shared" ref="FI5" si="126">FH5+1</f>
        <v>44384</v>
      </c>
      <c r="FJ5" s="12">
        <f t="shared" ref="FJ5" si="127">FI5+1</f>
        <v>44385</v>
      </c>
      <c r="FK5" s="12">
        <f t="shared" ref="FK5" si="128">FJ5+1</f>
        <v>44386</v>
      </c>
      <c r="FL5" s="12">
        <f t="shared" ref="FL5" si="129">FK5+1</f>
        <v>44387</v>
      </c>
      <c r="FM5" s="12">
        <f t="shared" ref="FM5" si="130">FL5+1</f>
        <v>44388</v>
      </c>
      <c r="FN5" s="12">
        <f t="shared" ref="FN5" si="131">FM5+1</f>
        <v>44389</v>
      </c>
      <c r="FO5" s="12">
        <f t="shared" ref="FO5" si="132">FN5+1</f>
        <v>44390</v>
      </c>
      <c r="FP5" s="12">
        <f t="shared" ref="FP5" si="133">FO5+1</f>
        <v>44391</v>
      </c>
      <c r="FQ5" s="12">
        <f t="shared" ref="FQ5" si="134">FP5+1</f>
        <v>44392</v>
      </c>
      <c r="FR5" s="12">
        <f t="shared" ref="FR5" si="135">FQ5+1</f>
        <v>44393</v>
      </c>
      <c r="FS5" s="12">
        <f t="shared" ref="FS5" si="136">FR5+1</f>
        <v>44394</v>
      </c>
      <c r="FT5" s="12">
        <f t="shared" ref="FT5" si="137">FS5+1</f>
        <v>44395</v>
      </c>
      <c r="FU5" s="12">
        <f t="shared" ref="FU5" si="138">FT5+1</f>
        <v>44396</v>
      </c>
      <c r="FV5" s="12">
        <f t="shared" ref="FV5" si="139">FU5+1</f>
        <v>44397</v>
      </c>
      <c r="FW5" s="12">
        <f t="shared" ref="FW5" si="140">FV5+1</f>
        <v>44398</v>
      </c>
      <c r="FX5" s="12">
        <f t="shared" ref="FX5" si="141">FW5+1</f>
        <v>44399</v>
      </c>
      <c r="FY5" s="12">
        <f t="shared" ref="FY5" si="142">FX5+1</f>
        <v>44400</v>
      </c>
      <c r="FZ5" s="12">
        <f t="shared" ref="FZ5" si="143">FY5+1</f>
        <v>44401</v>
      </c>
      <c r="GA5" s="12">
        <f t="shared" ref="GA5" si="144">FZ5+1</f>
        <v>44402</v>
      </c>
      <c r="GB5" s="12">
        <f t="shared" ref="GB5" si="145">GA5+1</f>
        <v>44403</v>
      </c>
      <c r="GC5" s="12">
        <f t="shared" ref="GC5" si="146">GB5+1</f>
        <v>44404</v>
      </c>
      <c r="GD5" s="12">
        <f t="shared" ref="GD5" si="147">GC5+1</f>
        <v>44405</v>
      </c>
      <c r="GE5" s="12">
        <f t="shared" ref="GE5" si="148">GD5+1</f>
        <v>44406</v>
      </c>
      <c r="GF5" s="12">
        <f t="shared" ref="GF5" si="149">GE5+1</f>
        <v>44407</v>
      </c>
      <c r="GG5" s="12">
        <f t="shared" ref="GG5" si="150">GF5+1</f>
        <v>44408</v>
      </c>
      <c r="GH5" s="12">
        <f t="shared" ref="GH5" si="151">GG5+1</f>
        <v>44409</v>
      </c>
      <c r="GI5" s="12">
        <f t="shared" ref="GI5" si="152">GH5+1</f>
        <v>44410</v>
      </c>
      <c r="GJ5" s="12">
        <f t="shared" ref="GJ5" si="153">GI5+1</f>
        <v>44411</v>
      </c>
      <c r="GK5" s="12">
        <f t="shared" ref="GK5" si="154">GJ5+1</f>
        <v>44412</v>
      </c>
      <c r="GL5" s="12">
        <f t="shared" ref="GL5" si="155">GK5+1</f>
        <v>44413</v>
      </c>
      <c r="GM5" s="12">
        <f t="shared" ref="GM5" si="156">GL5+1</f>
        <v>44414</v>
      </c>
      <c r="GN5" s="12">
        <f t="shared" ref="GN5" si="157">GM5+1</f>
        <v>44415</v>
      </c>
      <c r="GO5" s="12">
        <f t="shared" ref="GO5" si="158">GN5+1</f>
        <v>44416</v>
      </c>
      <c r="GP5" s="12">
        <f t="shared" ref="GP5" si="159">GO5+1</f>
        <v>44417</v>
      </c>
      <c r="GQ5" s="12">
        <f t="shared" ref="GQ5" si="160">GP5+1</f>
        <v>44418</v>
      </c>
      <c r="GR5" s="12">
        <f t="shared" ref="GR5" si="161">GQ5+1</f>
        <v>44419</v>
      </c>
      <c r="GS5" s="12">
        <f t="shared" ref="GS5" si="162">GR5+1</f>
        <v>44420</v>
      </c>
      <c r="GT5" s="12">
        <f t="shared" ref="GT5" si="163">GS5+1</f>
        <v>44421</v>
      </c>
      <c r="GU5" s="12">
        <f t="shared" ref="GU5" si="164">GT5+1</f>
        <v>44422</v>
      </c>
      <c r="GV5" s="12">
        <f t="shared" ref="GV5" si="165">GU5+1</f>
        <v>44423</v>
      </c>
      <c r="GW5" s="12">
        <f t="shared" ref="GW5" si="166">GV5+1</f>
        <v>44424</v>
      </c>
      <c r="GX5" s="12">
        <f t="shared" ref="GX5" si="167">GW5+1</f>
        <v>44425</v>
      </c>
      <c r="GY5" s="12">
        <f t="shared" ref="GY5" si="168">GX5+1</f>
        <v>44426</v>
      </c>
      <c r="GZ5" s="12">
        <f t="shared" ref="GZ5" si="169">GY5+1</f>
        <v>44427</v>
      </c>
      <c r="HA5" s="12">
        <f t="shared" ref="HA5" si="170">GZ5+1</f>
        <v>44428</v>
      </c>
      <c r="HB5" s="12">
        <f t="shared" ref="HB5" si="171">HA5+1</f>
        <v>44429</v>
      </c>
      <c r="HC5" s="12">
        <f t="shared" ref="HC5" si="172">HB5+1</f>
        <v>44430</v>
      </c>
      <c r="HD5" s="12">
        <f t="shared" ref="HD5" si="173">HC5+1</f>
        <v>44431</v>
      </c>
      <c r="HE5" s="12">
        <f t="shared" ref="HE5" si="174">HD5+1</f>
        <v>44432</v>
      </c>
      <c r="HF5" s="12">
        <f t="shared" ref="HF5" si="175">HE5+1</f>
        <v>44433</v>
      </c>
      <c r="HG5" s="12">
        <f t="shared" ref="HG5" si="176">HF5+1</f>
        <v>44434</v>
      </c>
      <c r="HH5" s="12">
        <f t="shared" ref="HH5" si="177">HG5+1</f>
        <v>44435</v>
      </c>
      <c r="HI5" s="12">
        <f t="shared" ref="HI5" si="178">HH5+1</f>
        <v>44436</v>
      </c>
      <c r="HJ5" s="12">
        <f t="shared" ref="HJ5" si="179">HI5+1</f>
        <v>44437</v>
      </c>
      <c r="HK5" s="12">
        <f t="shared" ref="HK5" si="180">HJ5+1</f>
        <v>44438</v>
      </c>
      <c r="HL5" s="12">
        <f t="shared" ref="HL5" si="181">HK5+1</f>
        <v>44439</v>
      </c>
      <c r="HM5" s="12">
        <f t="shared" ref="HM5" si="182">HL5+1</f>
        <v>44440</v>
      </c>
      <c r="HN5" s="12">
        <f t="shared" ref="HN5" si="183">HM5+1</f>
        <v>44441</v>
      </c>
      <c r="HO5" s="12">
        <f t="shared" ref="HO5" si="184">HN5+1</f>
        <v>44442</v>
      </c>
      <c r="HP5" s="12">
        <f t="shared" ref="HP5" si="185">HO5+1</f>
        <v>44443</v>
      </c>
      <c r="HQ5" s="12">
        <f t="shared" ref="HQ5" si="186">HP5+1</f>
        <v>44444</v>
      </c>
    </row>
    <row r="6" spans="1:225" ht="30" customHeight="1" thickBot="1" x14ac:dyDescent="0.3">
      <c r="A6" s="59" t="s">
        <v>36</v>
      </c>
      <c r="B6" s="8" t="s">
        <v>11</v>
      </c>
      <c r="C6" s="9" t="s">
        <v>5</v>
      </c>
      <c r="D6" s="9" t="s">
        <v>4</v>
      </c>
      <c r="E6" s="9" t="s">
        <v>7</v>
      </c>
      <c r="F6" s="9" t="s">
        <v>8</v>
      </c>
      <c r="G6" s="9"/>
      <c r="H6" s="9" t="s">
        <v>9</v>
      </c>
      <c r="I6" s="13" t="str">
        <f t="shared" ref="I6" si="187">LEFT(TEXT(I5,"ddd"),1)</f>
        <v>M</v>
      </c>
      <c r="J6" s="13" t="str">
        <f t="shared" ref="J6:AR6" si="188">LEFT(TEXT(J5,"ddd"),1)</f>
        <v>T</v>
      </c>
      <c r="K6" s="13" t="str">
        <f t="shared" si="188"/>
        <v>W</v>
      </c>
      <c r="L6" s="13" t="str">
        <f t="shared" si="188"/>
        <v>T</v>
      </c>
      <c r="M6" s="13" t="str">
        <f t="shared" si="188"/>
        <v>F</v>
      </c>
      <c r="N6" s="13" t="str">
        <f t="shared" si="188"/>
        <v>S</v>
      </c>
      <c r="O6" s="13" t="str">
        <f t="shared" si="188"/>
        <v>S</v>
      </c>
      <c r="P6" s="13" t="str">
        <f t="shared" si="188"/>
        <v>M</v>
      </c>
      <c r="Q6" s="13" t="str">
        <f t="shared" si="188"/>
        <v>T</v>
      </c>
      <c r="R6" s="13" t="str">
        <f t="shared" si="188"/>
        <v>W</v>
      </c>
      <c r="S6" s="13" t="str">
        <f t="shared" si="188"/>
        <v>T</v>
      </c>
      <c r="T6" s="13" t="str">
        <f t="shared" si="188"/>
        <v>F</v>
      </c>
      <c r="U6" s="13" t="str">
        <f t="shared" si="188"/>
        <v>S</v>
      </c>
      <c r="V6" s="13" t="str">
        <f t="shared" si="188"/>
        <v>S</v>
      </c>
      <c r="W6" s="13" t="str">
        <f t="shared" si="188"/>
        <v>M</v>
      </c>
      <c r="X6" s="13" t="str">
        <f t="shared" si="188"/>
        <v>T</v>
      </c>
      <c r="Y6" s="13" t="str">
        <f t="shared" si="188"/>
        <v>W</v>
      </c>
      <c r="Z6" s="13" t="str">
        <f t="shared" si="188"/>
        <v>T</v>
      </c>
      <c r="AA6" s="13" t="str">
        <f t="shared" si="188"/>
        <v>F</v>
      </c>
      <c r="AB6" s="13" t="str">
        <f t="shared" si="188"/>
        <v>S</v>
      </c>
      <c r="AC6" s="13" t="str">
        <f t="shared" si="188"/>
        <v>S</v>
      </c>
      <c r="AD6" s="13" t="str">
        <f t="shared" si="188"/>
        <v>M</v>
      </c>
      <c r="AE6" s="13" t="str">
        <f t="shared" si="188"/>
        <v>T</v>
      </c>
      <c r="AF6" s="13" t="str">
        <f t="shared" si="188"/>
        <v>W</v>
      </c>
      <c r="AG6" s="13" t="str">
        <f t="shared" si="188"/>
        <v>T</v>
      </c>
      <c r="AH6" s="13" t="str">
        <f t="shared" si="188"/>
        <v>F</v>
      </c>
      <c r="AI6" s="13" t="str">
        <f t="shared" si="188"/>
        <v>S</v>
      </c>
      <c r="AJ6" s="13" t="str">
        <f t="shared" si="188"/>
        <v>S</v>
      </c>
      <c r="AK6" s="13" t="str">
        <f t="shared" si="188"/>
        <v>M</v>
      </c>
      <c r="AL6" s="13" t="str">
        <f t="shared" si="188"/>
        <v>T</v>
      </c>
      <c r="AM6" s="13" t="str">
        <f t="shared" si="188"/>
        <v>W</v>
      </c>
      <c r="AN6" s="13" t="str">
        <f t="shared" si="188"/>
        <v>T</v>
      </c>
      <c r="AO6" s="13" t="str">
        <f t="shared" si="188"/>
        <v>F</v>
      </c>
      <c r="AP6" s="13" t="str">
        <f t="shared" si="188"/>
        <v>S</v>
      </c>
      <c r="AQ6" s="13" t="str">
        <f t="shared" si="188"/>
        <v>S</v>
      </c>
      <c r="AR6" s="13" t="str">
        <f t="shared" si="188"/>
        <v>M</v>
      </c>
      <c r="AS6" s="13" t="str">
        <f t="shared" ref="AS6:BL6" si="189">LEFT(TEXT(AS5,"ddd"),1)</f>
        <v>T</v>
      </c>
      <c r="AT6" s="13" t="str">
        <f t="shared" si="189"/>
        <v>W</v>
      </c>
      <c r="AU6" s="13" t="str">
        <f t="shared" si="189"/>
        <v>T</v>
      </c>
      <c r="AV6" s="13" t="str">
        <f t="shared" si="189"/>
        <v>F</v>
      </c>
      <c r="AW6" s="13" t="str">
        <f t="shared" si="189"/>
        <v>S</v>
      </c>
      <c r="AX6" s="13" t="str">
        <f t="shared" si="189"/>
        <v>S</v>
      </c>
      <c r="AY6" s="13" t="str">
        <f t="shared" si="189"/>
        <v>M</v>
      </c>
      <c r="AZ6" s="13" t="str">
        <f t="shared" si="189"/>
        <v>T</v>
      </c>
      <c r="BA6" s="13" t="str">
        <f t="shared" si="189"/>
        <v>W</v>
      </c>
      <c r="BB6" s="13" t="str">
        <f t="shared" si="189"/>
        <v>T</v>
      </c>
      <c r="BC6" s="13" t="str">
        <f t="shared" si="189"/>
        <v>F</v>
      </c>
      <c r="BD6" s="13" t="str">
        <f t="shared" si="189"/>
        <v>S</v>
      </c>
      <c r="BE6" s="13" t="str">
        <f t="shared" si="189"/>
        <v>S</v>
      </c>
      <c r="BF6" s="13" t="str">
        <f t="shared" si="189"/>
        <v>M</v>
      </c>
      <c r="BG6" s="13" t="str">
        <f t="shared" si="189"/>
        <v>T</v>
      </c>
      <c r="BH6" s="13" t="str">
        <f t="shared" si="189"/>
        <v>W</v>
      </c>
      <c r="BI6" s="13" t="str">
        <f t="shared" si="189"/>
        <v>T</v>
      </c>
      <c r="BJ6" s="13" t="str">
        <f t="shared" si="189"/>
        <v>F</v>
      </c>
      <c r="BK6" s="13" t="str">
        <f t="shared" si="189"/>
        <v>S</v>
      </c>
      <c r="BL6" s="13" t="str">
        <f t="shared" si="189"/>
        <v>S</v>
      </c>
      <c r="BM6" s="13" t="str">
        <f t="shared" ref="BM6:BQ6" si="190">LEFT(TEXT(BM5,"ddd"),1)</f>
        <v>M</v>
      </c>
      <c r="BN6" s="13" t="str">
        <f t="shared" si="190"/>
        <v>T</v>
      </c>
      <c r="BO6" s="13" t="str">
        <f t="shared" si="190"/>
        <v>W</v>
      </c>
      <c r="BP6" s="13" t="str">
        <f t="shared" si="190"/>
        <v>T</v>
      </c>
      <c r="BQ6" s="13" t="str">
        <f t="shared" si="190"/>
        <v>F</v>
      </c>
      <c r="BR6" s="13" t="str">
        <f t="shared" ref="BR6:DK6" si="191">LEFT(TEXT(BR5,"ddd"),1)</f>
        <v>S</v>
      </c>
      <c r="BS6" s="13" t="str">
        <f t="shared" si="191"/>
        <v>S</v>
      </c>
      <c r="BT6" s="13" t="str">
        <f t="shared" si="191"/>
        <v>M</v>
      </c>
      <c r="BU6" s="13" t="str">
        <f t="shared" si="191"/>
        <v>T</v>
      </c>
      <c r="BV6" s="13" t="str">
        <f t="shared" si="191"/>
        <v>W</v>
      </c>
      <c r="BW6" s="13" t="str">
        <f t="shared" si="191"/>
        <v>T</v>
      </c>
      <c r="BX6" s="13" t="str">
        <f t="shared" si="191"/>
        <v>F</v>
      </c>
      <c r="BY6" s="13" t="str">
        <f t="shared" si="191"/>
        <v>S</v>
      </c>
      <c r="BZ6" s="13" t="str">
        <f t="shared" si="191"/>
        <v>S</v>
      </c>
      <c r="CA6" s="13" t="str">
        <f t="shared" si="191"/>
        <v>M</v>
      </c>
      <c r="CB6" s="13" t="str">
        <f t="shared" si="191"/>
        <v>T</v>
      </c>
      <c r="CC6" s="13" t="str">
        <f t="shared" si="191"/>
        <v>W</v>
      </c>
      <c r="CD6" s="13" t="str">
        <f t="shared" si="191"/>
        <v>T</v>
      </c>
      <c r="CE6" s="13" t="str">
        <f t="shared" si="191"/>
        <v>F</v>
      </c>
      <c r="CF6" s="13" t="str">
        <f t="shared" si="191"/>
        <v>S</v>
      </c>
      <c r="CG6" s="13" t="str">
        <f t="shared" si="191"/>
        <v>S</v>
      </c>
      <c r="CH6" s="13" t="str">
        <f t="shared" si="191"/>
        <v>M</v>
      </c>
      <c r="CI6" s="13" t="str">
        <f t="shared" si="191"/>
        <v>T</v>
      </c>
      <c r="CJ6" s="13" t="str">
        <f t="shared" si="191"/>
        <v>W</v>
      </c>
      <c r="CK6" s="13" t="str">
        <f t="shared" si="191"/>
        <v>T</v>
      </c>
      <c r="CL6" s="13" t="str">
        <f t="shared" si="191"/>
        <v>F</v>
      </c>
      <c r="CM6" s="13" t="str">
        <f t="shared" si="191"/>
        <v>S</v>
      </c>
      <c r="CN6" s="13" t="str">
        <f t="shared" si="191"/>
        <v>S</v>
      </c>
      <c r="CO6" s="13" t="str">
        <f t="shared" si="191"/>
        <v>M</v>
      </c>
      <c r="CP6" s="13" t="str">
        <f t="shared" si="191"/>
        <v>T</v>
      </c>
      <c r="CQ6" s="13" t="str">
        <f t="shared" si="191"/>
        <v>W</v>
      </c>
      <c r="CR6" s="13" t="str">
        <f t="shared" si="191"/>
        <v>T</v>
      </c>
      <c r="CS6" s="13" t="str">
        <f t="shared" si="191"/>
        <v>F</v>
      </c>
      <c r="CT6" s="13" t="str">
        <f t="shared" si="191"/>
        <v>S</v>
      </c>
      <c r="CU6" s="13" t="str">
        <f t="shared" si="191"/>
        <v>S</v>
      </c>
      <c r="CV6" s="13" t="str">
        <f t="shared" si="191"/>
        <v>M</v>
      </c>
      <c r="CW6" s="13" t="str">
        <f t="shared" si="191"/>
        <v>T</v>
      </c>
      <c r="CX6" s="13" t="str">
        <f t="shared" si="191"/>
        <v>W</v>
      </c>
      <c r="CY6" s="13" t="str">
        <f t="shared" si="191"/>
        <v>T</v>
      </c>
      <c r="CZ6" s="13" t="str">
        <f t="shared" si="191"/>
        <v>F</v>
      </c>
      <c r="DA6" s="13" t="str">
        <f t="shared" si="191"/>
        <v>S</v>
      </c>
      <c r="DB6" s="13" t="str">
        <f t="shared" si="191"/>
        <v>S</v>
      </c>
      <c r="DC6" s="13" t="str">
        <f t="shared" si="191"/>
        <v>M</v>
      </c>
      <c r="DD6" s="13" t="str">
        <f t="shared" si="191"/>
        <v>T</v>
      </c>
      <c r="DE6" s="13" t="str">
        <f t="shared" si="191"/>
        <v>W</v>
      </c>
      <c r="DF6" s="13" t="str">
        <f t="shared" si="191"/>
        <v>T</v>
      </c>
      <c r="DG6" s="13" t="str">
        <f t="shared" si="191"/>
        <v>F</v>
      </c>
      <c r="DH6" s="13" t="str">
        <f t="shared" si="191"/>
        <v>S</v>
      </c>
      <c r="DI6" s="13" t="str">
        <f t="shared" si="191"/>
        <v>S</v>
      </c>
      <c r="DJ6" s="13" t="str">
        <f t="shared" si="191"/>
        <v>M</v>
      </c>
      <c r="DK6" s="13" t="str">
        <f t="shared" si="191"/>
        <v>T</v>
      </c>
      <c r="DL6" s="13" t="str">
        <f t="shared" ref="DL6:DX6" si="192">LEFT(TEXT(DL5,"ddd"),1)</f>
        <v>W</v>
      </c>
      <c r="DM6" s="13" t="str">
        <f t="shared" si="192"/>
        <v>T</v>
      </c>
      <c r="DN6" s="13" t="str">
        <f t="shared" si="192"/>
        <v>F</v>
      </c>
      <c r="DO6" s="13" t="str">
        <f t="shared" si="192"/>
        <v>S</v>
      </c>
      <c r="DP6" s="13" t="str">
        <f t="shared" si="192"/>
        <v>S</v>
      </c>
      <c r="DQ6" s="13" t="str">
        <f t="shared" si="192"/>
        <v>M</v>
      </c>
      <c r="DR6" s="13" t="str">
        <f t="shared" si="192"/>
        <v>T</v>
      </c>
      <c r="DS6" s="13" t="str">
        <f t="shared" si="192"/>
        <v>W</v>
      </c>
      <c r="DT6" s="13" t="str">
        <f t="shared" si="192"/>
        <v>T</v>
      </c>
      <c r="DU6" s="13" t="str">
        <f t="shared" si="192"/>
        <v>F</v>
      </c>
      <c r="DV6" s="13" t="str">
        <f t="shared" si="192"/>
        <v>S</v>
      </c>
      <c r="DW6" s="13" t="str">
        <f t="shared" si="192"/>
        <v>S</v>
      </c>
      <c r="DX6" s="13" t="str">
        <f t="shared" si="192"/>
        <v>M</v>
      </c>
      <c r="DY6" s="13" t="str">
        <f t="shared" ref="DY6:FJ6" si="193">LEFT(TEXT(DY5,"ddd"),1)</f>
        <v>T</v>
      </c>
      <c r="DZ6" s="13" t="str">
        <f t="shared" si="193"/>
        <v>W</v>
      </c>
      <c r="EA6" s="13" t="str">
        <f t="shared" si="193"/>
        <v>T</v>
      </c>
      <c r="EB6" s="13" t="str">
        <f t="shared" si="193"/>
        <v>F</v>
      </c>
      <c r="EC6" s="13" t="str">
        <f t="shared" si="193"/>
        <v>S</v>
      </c>
      <c r="ED6" s="13" t="str">
        <f t="shared" si="193"/>
        <v>S</v>
      </c>
      <c r="EE6" s="13" t="str">
        <f t="shared" si="193"/>
        <v>M</v>
      </c>
      <c r="EF6" s="13" t="str">
        <f t="shared" si="193"/>
        <v>T</v>
      </c>
      <c r="EG6" s="13" t="str">
        <f t="shared" si="193"/>
        <v>W</v>
      </c>
      <c r="EH6" s="13" t="str">
        <f t="shared" si="193"/>
        <v>T</v>
      </c>
      <c r="EI6" s="13" t="str">
        <f t="shared" si="193"/>
        <v>F</v>
      </c>
      <c r="EJ6" s="13" t="str">
        <f t="shared" si="193"/>
        <v>S</v>
      </c>
      <c r="EK6" s="13" t="str">
        <f t="shared" si="193"/>
        <v>S</v>
      </c>
      <c r="EL6" s="13" t="str">
        <f t="shared" si="193"/>
        <v>M</v>
      </c>
      <c r="EM6" s="13" t="str">
        <f t="shared" si="193"/>
        <v>T</v>
      </c>
      <c r="EN6" s="13" t="str">
        <f t="shared" si="193"/>
        <v>W</v>
      </c>
      <c r="EO6" s="13" t="str">
        <f t="shared" si="193"/>
        <v>T</v>
      </c>
      <c r="EP6" s="13" t="str">
        <f t="shared" si="193"/>
        <v>F</v>
      </c>
      <c r="EQ6" s="13" t="str">
        <f t="shared" si="193"/>
        <v>S</v>
      </c>
      <c r="ER6" s="13" t="str">
        <f t="shared" si="193"/>
        <v>S</v>
      </c>
      <c r="ES6" s="13" t="str">
        <f t="shared" si="193"/>
        <v>M</v>
      </c>
      <c r="ET6" s="13" t="str">
        <f t="shared" si="193"/>
        <v>T</v>
      </c>
      <c r="EU6" s="13" t="str">
        <f t="shared" si="193"/>
        <v>W</v>
      </c>
      <c r="EV6" s="13" t="str">
        <f t="shared" si="193"/>
        <v>T</v>
      </c>
      <c r="EW6" s="13" t="str">
        <f t="shared" si="193"/>
        <v>F</v>
      </c>
      <c r="EX6" s="13" t="str">
        <f t="shared" si="193"/>
        <v>S</v>
      </c>
      <c r="EY6" s="13" t="str">
        <f t="shared" si="193"/>
        <v>S</v>
      </c>
      <c r="EZ6" s="13" t="str">
        <f t="shared" si="193"/>
        <v>M</v>
      </c>
      <c r="FA6" s="13" t="str">
        <f t="shared" si="193"/>
        <v>T</v>
      </c>
      <c r="FB6" s="13" t="str">
        <f t="shared" si="193"/>
        <v>W</v>
      </c>
      <c r="FC6" s="13" t="str">
        <f t="shared" si="193"/>
        <v>T</v>
      </c>
      <c r="FD6" s="13" t="str">
        <f t="shared" si="193"/>
        <v>F</v>
      </c>
      <c r="FE6" s="13" t="str">
        <f t="shared" si="193"/>
        <v>S</v>
      </c>
      <c r="FF6" s="13" t="str">
        <f t="shared" si="193"/>
        <v>S</v>
      </c>
      <c r="FG6" s="13" t="str">
        <f t="shared" si="193"/>
        <v>M</v>
      </c>
      <c r="FH6" s="13" t="str">
        <f t="shared" si="193"/>
        <v>T</v>
      </c>
      <c r="FI6" s="13" t="str">
        <f t="shared" si="193"/>
        <v>W</v>
      </c>
      <c r="FJ6" s="13" t="str">
        <f t="shared" si="193"/>
        <v>T</v>
      </c>
      <c r="FK6" s="13" t="str">
        <f t="shared" ref="FK6:FL6" si="194">LEFT(TEXT(FK5,"ddd"),1)</f>
        <v>F</v>
      </c>
      <c r="FL6" s="13" t="str">
        <f t="shared" si="194"/>
        <v>S</v>
      </c>
      <c r="FM6" s="13" t="str">
        <f t="shared" ref="FM6:FX6" si="195">LEFT(TEXT(FM5,"ddd"),1)</f>
        <v>S</v>
      </c>
      <c r="FN6" s="13" t="str">
        <f t="shared" si="195"/>
        <v>M</v>
      </c>
      <c r="FO6" s="13" t="str">
        <f t="shared" si="195"/>
        <v>T</v>
      </c>
      <c r="FP6" s="13" t="str">
        <f t="shared" si="195"/>
        <v>W</v>
      </c>
      <c r="FQ6" s="13" t="str">
        <f t="shared" si="195"/>
        <v>T</v>
      </c>
      <c r="FR6" s="13" t="str">
        <f t="shared" si="195"/>
        <v>F</v>
      </c>
      <c r="FS6" s="13" t="str">
        <f t="shared" si="195"/>
        <v>S</v>
      </c>
      <c r="FT6" s="13" t="str">
        <f t="shared" si="195"/>
        <v>S</v>
      </c>
      <c r="FU6" s="13" t="str">
        <f t="shared" si="195"/>
        <v>M</v>
      </c>
      <c r="FV6" s="13" t="str">
        <f t="shared" si="195"/>
        <v>T</v>
      </c>
      <c r="FW6" s="13" t="str">
        <f t="shared" si="195"/>
        <v>W</v>
      </c>
      <c r="FX6" s="13" t="str">
        <f t="shared" si="195"/>
        <v>T</v>
      </c>
      <c r="FY6" s="13" t="str">
        <f t="shared" ref="FY6:GN6" si="196">LEFT(TEXT(FY5,"ddd"),1)</f>
        <v>F</v>
      </c>
      <c r="FZ6" s="13" t="str">
        <f t="shared" si="196"/>
        <v>S</v>
      </c>
      <c r="GA6" s="13" t="str">
        <f t="shared" si="196"/>
        <v>S</v>
      </c>
      <c r="GB6" s="13" t="str">
        <f t="shared" si="196"/>
        <v>M</v>
      </c>
      <c r="GC6" s="13" t="str">
        <f t="shared" si="196"/>
        <v>T</v>
      </c>
      <c r="GD6" s="13" t="str">
        <f t="shared" si="196"/>
        <v>W</v>
      </c>
      <c r="GE6" s="13" t="str">
        <f t="shared" si="196"/>
        <v>T</v>
      </c>
      <c r="GF6" s="13" t="str">
        <f t="shared" si="196"/>
        <v>F</v>
      </c>
      <c r="GG6" s="13" t="str">
        <f t="shared" si="196"/>
        <v>S</v>
      </c>
      <c r="GH6" s="13" t="str">
        <f t="shared" si="196"/>
        <v>S</v>
      </c>
      <c r="GI6" s="13" t="str">
        <f t="shared" si="196"/>
        <v>M</v>
      </c>
      <c r="GJ6" s="13" t="str">
        <f t="shared" si="196"/>
        <v>T</v>
      </c>
      <c r="GK6" s="13" t="str">
        <f t="shared" si="196"/>
        <v>W</v>
      </c>
      <c r="GL6" s="13" t="str">
        <f t="shared" si="196"/>
        <v>T</v>
      </c>
      <c r="GM6" s="13" t="str">
        <f t="shared" si="196"/>
        <v>F</v>
      </c>
      <c r="GN6" s="13" t="str">
        <f t="shared" si="196"/>
        <v>S</v>
      </c>
      <c r="GO6" s="13" t="str">
        <f t="shared" ref="GO6:GS6" si="197">LEFT(TEXT(GO5,"ddd"),1)</f>
        <v>S</v>
      </c>
      <c r="GP6" s="13" t="str">
        <f t="shared" si="197"/>
        <v>M</v>
      </c>
      <c r="GQ6" s="13" t="str">
        <f t="shared" si="197"/>
        <v>T</v>
      </c>
      <c r="GR6" s="13" t="str">
        <f t="shared" si="197"/>
        <v>W</v>
      </c>
      <c r="GS6" s="13" t="str">
        <f t="shared" si="197"/>
        <v>T</v>
      </c>
      <c r="GT6" s="13" t="str">
        <f t="shared" ref="GT6:GU6" si="198">LEFT(TEXT(GT5,"ddd"),1)</f>
        <v>F</v>
      </c>
      <c r="GU6" s="13" t="str">
        <f t="shared" si="198"/>
        <v>S</v>
      </c>
      <c r="GV6" s="13" t="str">
        <f t="shared" ref="GV6:GW6" si="199">LEFT(TEXT(GV5,"ddd"),1)</f>
        <v>S</v>
      </c>
      <c r="GW6" s="13" t="str">
        <f t="shared" si="199"/>
        <v>M</v>
      </c>
      <c r="GX6" s="13" t="str">
        <f t="shared" ref="GX6:HF6" si="200">LEFT(TEXT(GX5,"ddd"),1)</f>
        <v>T</v>
      </c>
      <c r="GY6" s="13" t="str">
        <f t="shared" si="200"/>
        <v>W</v>
      </c>
      <c r="GZ6" s="13" t="str">
        <f t="shared" si="200"/>
        <v>T</v>
      </c>
      <c r="HA6" s="13" t="str">
        <f t="shared" si="200"/>
        <v>F</v>
      </c>
      <c r="HB6" s="13" t="str">
        <f t="shared" si="200"/>
        <v>S</v>
      </c>
      <c r="HC6" s="13" t="str">
        <f t="shared" si="200"/>
        <v>S</v>
      </c>
      <c r="HD6" s="13" t="str">
        <f t="shared" si="200"/>
        <v>M</v>
      </c>
      <c r="HE6" s="13" t="str">
        <f t="shared" si="200"/>
        <v>T</v>
      </c>
      <c r="HF6" s="13" t="str">
        <f t="shared" si="200"/>
        <v>W</v>
      </c>
      <c r="HG6" s="13" t="str">
        <f t="shared" ref="HG6:HQ6" si="201">LEFT(TEXT(HG5,"ddd"),1)</f>
        <v>T</v>
      </c>
      <c r="HH6" s="13" t="str">
        <f t="shared" si="201"/>
        <v>F</v>
      </c>
      <c r="HI6" s="13" t="str">
        <f t="shared" si="201"/>
        <v>S</v>
      </c>
      <c r="HJ6" s="13" t="str">
        <f t="shared" si="201"/>
        <v>S</v>
      </c>
      <c r="HK6" s="13" t="str">
        <f t="shared" si="201"/>
        <v>M</v>
      </c>
      <c r="HL6" s="13" t="str">
        <f t="shared" si="201"/>
        <v>T</v>
      </c>
      <c r="HM6" s="13" t="str">
        <f t="shared" si="201"/>
        <v>W</v>
      </c>
      <c r="HN6" s="13" t="str">
        <f t="shared" si="201"/>
        <v>T</v>
      </c>
      <c r="HO6" s="13" t="str">
        <f t="shared" si="201"/>
        <v>F</v>
      </c>
      <c r="HP6" s="13" t="str">
        <f t="shared" si="201"/>
        <v>S</v>
      </c>
      <c r="HQ6" s="13" t="str">
        <f t="shared" si="201"/>
        <v>S</v>
      </c>
    </row>
    <row r="7" spans="1:225" ht="30" hidden="1" customHeight="1" thickBot="1" x14ac:dyDescent="0.3">
      <c r="A7" s="58" t="s">
        <v>31</v>
      </c>
      <c r="C7" s="62"/>
      <c r="E7"/>
      <c r="H7" t="str">
        <f>IF(OR(ISBLANK(task_start),ISBLANK(task_end)),"",task_end-task_start+1)</f>
        <v/>
      </c>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c r="CY7" s="44"/>
      <c r="CZ7" s="44"/>
      <c r="DA7" s="44"/>
      <c r="DB7" s="44"/>
      <c r="DC7" s="44"/>
      <c r="DD7" s="44"/>
      <c r="DE7" s="44"/>
      <c r="DF7" s="44"/>
      <c r="DG7" s="44"/>
      <c r="DH7" s="44"/>
      <c r="DI7" s="44"/>
      <c r="DJ7" s="44"/>
      <c r="DK7" s="44"/>
      <c r="DL7" s="44"/>
      <c r="DM7" s="44"/>
      <c r="DN7" s="44"/>
      <c r="DO7" s="44"/>
      <c r="DP7" s="44"/>
      <c r="DQ7" s="44"/>
      <c r="DR7" s="44"/>
      <c r="DS7" s="44"/>
      <c r="DT7" s="44"/>
      <c r="DU7" s="44"/>
      <c r="DV7" s="44"/>
      <c r="DW7" s="44"/>
      <c r="DX7" s="44"/>
      <c r="DY7" s="44"/>
      <c r="DZ7" s="44"/>
      <c r="EA7" s="44"/>
      <c r="EB7" s="44"/>
      <c r="EC7" s="44"/>
      <c r="ED7" s="44"/>
      <c r="EE7" s="44"/>
      <c r="EF7" s="44"/>
      <c r="EG7" s="44"/>
      <c r="EH7" s="44"/>
      <c r="EI7" s="44"/>
      <c r="EJ7" s="44"/>
      <c r="EK7" s="44"/>
      <c r="EL7" s="44"/>
      <c r="EM7" s="44"/>
      <c r="EN7" s="44"/>
      <c r="EO7" s="44"/>
      <c r="EP7" s="44"/>
      <c r="EQ7" s="44"/>
      <c r="ER7" s="44"/>
      <c r="ES7" s="44"/>
      <c r="ET7" s="44"/>
      <c r="EU7" s="44"/>
      <c r="EV7" s="44"/>
      <c r="EW7" s="44"/>
      <c r="EX7" s="44"/>
      <c r="EY7" s="44"/>
      <c r="EZ7" s="44"/>
      <c r="FA7" s="44"/>
      <c r="FB7" s="44"/>
      <c r="FC7" s="44"/>
      <c r="FD7" s="44"/>
      <c r="FE7" s="44"/>
      <c r="FF7" s="44"/>
      <c r="FG7" s="44"/>
      <c r="FH7" s="44"/>
      <c r="FI7" s="44"/>
      <c r="FJ7" s="44"/>
      <c r="FK7" s="44"/>
      <c r="FL7" s="44"/>
      <c r="FM7" s="44"/>
      <c r="FN7" s="44"/>
      <c r="FO7" s="44"/>
      <c r="FP7" s="44"/>
      <c r="FQ7" s="44"/>
      <c r="FR7" s="44"/>
      <c r="FS7" s="44"/>
      <c r="FT7" s="44"/>
      <c r="FU7" s="44"/>
      <c r="FV7" s="44"/>
      <c r="FW7" s="44"/>
      <c r="FX7" s="44"/>
      <c r="FY7" s="44"/>
      <c r="FZ7" s="44"/>
      <c r="GA7" s="44"/>
      <c r="GB7" s="44"/>
      <c r="GC7" s="44"/>
      <c r="GD7" s="44"/>
      <c r="GE7" s="44"/>
      <c r="GF7" s="44"/>
      <c r="GG7" s="44"/>
      <c r="GH7" s="44"/>
      <c r="GI7" s="44"/>
      <c r="GJ7" s="44"/>
      <c r="GK7" s="44"/>
      <c r="GL7" s="44"/>
      <c r="GM7" s="44"/>
      <c r="GN7" s="44"/>
      <c r="GO7" s="44"/>
      <c r="GP7" s="44"/>
      <c r="GQ7" s="44"/>
      <c r="GR7" s="44"/>
      <c r="GS7" s="44"/>
      <c r="GT7" s="44"/>
      <c r="GU7" s="44"/>
      <c r="GV7" s="44"/>
      <c r="GW7" s="44"/>
      <c r="GX7" s="44"/>
      <c r="GY7" s="44"/>
      <c r="GZ7" s="44"/>
      <c r="HA7" s="44"/>
      <c r="HB7" s="44"/>
      <c r="HC7" s="44"/>
      <c r="HD7" s="44"/>
      <c r="HE7" s="44"/>
      <c r="HF7" s="44"/>
      <c r="HG7" s="44"/>
      <c r="HH7" s="44"/>
      <c r="HI7" s="44"/>
      <c r="HJ7" s="44"/>
      <c r="HK7" s="44"/>
      <c r="HL7" s="44"/>
      <c r="HM7" s="44"/>
      <c r="HN7" s="44"/>
      <c r="HO7" s="44"/>
      <c r="HP7" s="44"/>
      <c r="HQ7" s="44"/>
    </row>
    <row r="8" spans="1:225" s="3" customFormat="1" ht="30" customHeight="1" thickBot="1" x14ac:dyDescent="0.3">
      <c r="A8" s="59" t="s">
        <v>37</v>
      </c>
      <c r="B8" s="18" t="s">
        <v>42</v>
      </c>
      <c r="C8" s="70"/>
      <c r="D8" s="19"/>
      <c r="E8" s="20"/>
      <c r="F8" s="21"/>
      <c r="G8" s="17"/>
      <c r="H8" s="17" t="str">
        <f t="shared" ref="H8:H38" si="202">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c r="DG8" s="44"/>
      <c r="DH8" s="44"/>
      <c r="DI8" s="44"/>
      <c r="DJ8" s="44"/>
      <c r="DK8" s="44"/>
      <c r="DL8" s="44"/>
      <c r="DM8" s="44"/>
      <c r="DN8" s="44"/>
      <c r="DO8" s="44"/>
      <c r="DP8" s="44"/>
      <c r="DQ8" s="44"/>
      <c r="DR8" s="44"/>
      <c r="DS8" s="44"/>
      <c r="DT8" s="44"/>
      <c r="DU8" s="44"/>
      <c r="DV8" s="44"/>
      <c r="DW8" s="44"/>
      <c r="DX8" s="44"/>
      <c r="DY8" s="44"/>
      <c r="DZ8" s="44"/>
      <c r="EA8" s="44"/>
      <c r="EB8" s="44"/>
      <c r="EC8" s="44"/>
      <c r="ED8" s="44"/>
      <c r="EE8" s="44"/>
      <c r="EF8" s="44"/>
      <c r="EG8" s="44"/>
      <c r="EH8" s="44"/>
      <c r="EI8" s="44"/>
      <c r="EJ8" s="44"/>
      <c r="EK8" s="44"/>
      <c r="EL8" s="44"/>
      <c r="EM8" s="44"/>
      <c r="EN8" s="44"/>
      <c r="EO8" s="44"/>
      <c r="EP8" s="44"/>
      <c r="EQ8" s="44"/>
      <c r="ER8" s="44"/>
      <c r="ES8" s="44"/>
      <c r="ET8" s="44"/>
      <c r="EU8" s="44"/>
      <c r="EV8" s="44"/>
      <c r="EW8" s="44"/>
      <c r="EX8" s="44"/>
      <c r="EY8" s="44"/>
      <c r="EZ8" s="44"/>
      <c r="FA8" s="44"/>
      <c r="FB8" s="44"/>
      <c r="FC8" s="44"/>
      <c r="FD8" s="44"/>
      <c r="FE8" s="44"/>
      <c r="FF8" s="44"/>
      <c r="FG8" s="44"/>
      <c r="FH8" s="44"/>
      <c r="FI8" s="44"/>
      <c r="FJ8" s="44"/>
      <c r="FK8" s="44"/>
      <c r="FL8" s="44"/>
      <c r="FM8" s="44"/>
      <c r="FN8" s="44"/>
      <c r="FO8" s="44"/>
      <c r="FP8" s="44"/>
      <c r="FQ8" s="44"/>
      <c r="FR8" s="44"/>
      <c r="FS8" s="44"/>
      <c r="FT8" s="44"/>
      <c r="FU8" s="44"/>
      <c r="FV8" s="44"/>
      <c r="FW8" s="44"/>
      <c r="FX8" s="44"/>
      <c r="FY8" s="44"/>
      <c r="FZ8" s="44"/>
      <c r="GA8" s="44"/>
      <c r="GB8" s="44"/>
      <c r="GC8" s="44"/>
      <c r="GD8" s="44"/>
      <c r="GE8" s="44"/>
      <c r="GF8" s="44"/>
      <c r="GG8" s="44"/>
      <c r="GH8" s="44"/>
      <c r="GI8" s="44"/>
      <c r="GJ8" s="44"/>
      <c r="GK8" s="44"/>
      <c r="GL8" s="44"/>
      <c r="GM8" s="44"/>
      <c r="GN8" s="44"/>
      <c r="GO8" s="44"/>
      <c r="GP8" s="44"/>
      <c r="GQ8" s="44"/>
      <c r="GR8" s="44"/>
      <c r="GS8" s="44"/>
      <c r="GT8" s="44"/>
      <c r="GU8" s="44"/>
      <c r="GV8" s="44"/>
      <c r="GW8" s="44"/>
      <c r="GX8" s="44"/>
      <c r="GY8" s="44"/>
      <c r="GZ8" s="44"/>
      <c r="HA8" s="44"/>
      <c r="HB8" s="44"/>
      <c r="HC8" s="44"/>
      <c r="HD8" s="44"/>
      <c r="HE8" s="44"/>
      <c r="HF8" s="44"/>
      <c r="HG8" s="44"/>
      <c r="HH8" s="44"/>
      <c r="HI8" s="44"/>
      <c r="HJ8" s="44"/>
      <c r="HK8" s="44"/>
      <c r="HL8" s="44"/>
      <c r="HM8" s="44"/>
      <c r="HN8" s="44"/>
      <c r="HO8" s="44"/>
      <c r="HP8" s="44"/>
      <c r="HQ8" s="44"/>
    </row>
    <row r="9" spans="1:225" s="3" customFormat="1" ht="30" customHeight="1" thickBot="1" x14ac:dyDescent="0.3">
      <c r="A9" s="59" t="s">
        <v>38</v>
      </c>
      <c r="B9" s="79" t="s">
        <v>43</v>
      </c>
      <c r="C9" s="71" t="s">
        <v>45</v>
      </c>
      <c r="D9" s="22">
        <v>1</v>
      </c>
      <c r="E9" s="65">
        <f>Project_Start</f>
        <v>44228</v>
      </c>
      <c r="F9" s="65">
        <v>44235</v>
      </c>
      <c r="G9" s="17"/>
      <c r="H9" s="17">
        <f t="shared" si="202"/>
        <v>8</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c r="DG9" s="44"/>
      <c r="DH9" s="44"/>
      <c r="DI9" s="44"/>
      <c r="DJ9" s="44"/>
      <c r="DK9" s="44"/>
      <c r="DL9" s="44"/>
      <c r="DM9" s="44"/>
      <c r="DN9" s="44"/>
      <c r="DO9" s="44"/>
      <c r="DP9" s="44"/>
      <c r="DQ9" s="44"/>
      <c r="DR9" s="44"/>
      <c r="DS9" s="44"/>
      <c r="DT9" s="44"/>
      <c r="DU9" s="44"/>
      <c r="DV9" s="44"/>
      <c r="DW9" s="44"/>
      <c r="DX9" s="44"/>
      <c r="DY9" s="44"/>
      <c r="DZ9" s="44"/>
      <c r="EA9" s="44"/>
      <c r="EB9" s="44"/>
      <c r="EC9" s="44"/>
      <c r="ED9" s="44"/>
      <c r="EE9" s="44"/>
      <c r="EF9" s="44"/>
      <c r="EG9" s="44"/>
      <c r="EH9" s="44"/>
      <c r="EI9" s="44"/>
      <c r="EJ9" s="44"/>
      <c r="EK9" s="44"/>
      <c r="EL9" s="44"/>
      <c r="EM9" s="44"/>
      <c r="EN9" s="44"/>
      <c r="EO9" s="44"/>
      <c r="EP9" s="44"/>
      <c r="EQ9" s="44"/>
      <c r="ER9" s="44"/>
      <c r="ES9" s="44"/>
      <c r="ET9" s="44"/>
      <c r="EU9" s="44"/>
      <c r="EV9" s="44"/>
      <c r="EW9" s="44"/>
      <c r="EX9" s="44"/>
      <c r="EY9" s="44"/>
      <c r="EZ9" s="44"/>
      <c r="FA9" s="44"/>
      <c r="FB9" s="44"/>
      <c r="FC9" s="44"/>
      <c r="FD9" s="44"/>
      <c r="FE9" s="44"/>
      <c r="FF9" s="44"/>
      <c r="FG9" s="44"/>
      <c r="FH9" s="44"/>
      <c r="FI9" s="44"/>
      <c r="FJ9" s="44"/>
      <c r="FK9" s="44"/>
      <c r="FL9" s="44"/>
      <c r="FM9" s="44"/>
      <c r="FN9" s="44"/>
      <c r="FO9" s="44"/>
      <c r="FP9" s="44"/>
      <c r="FQ9" s="44"/>
      <c r="FR9" s="44"/>
      <c r="FS9" s="44"/>
      <c r="FT9" s="44"/>
      <c r="FU9" s="44"/>
      <c r="FV9" s="44"/>
      <c r="FW9" s="44"/>
      <c r="FX9" s="44"/>
      <c r="FY9" s="44"/>
      <c r="FZ9" s="44"/>
      <c r="GA9" s="44"/>
      <c r="GB9" s="44"/>
      <c r="GC9" s="44"/>
      <c r="GD9" s="44"/>
      <c r="GE9" s="44"/>
      <c r="GF9" s="44"/>
      <c r="GG9" s="44"/>
      <c r="GH9" s="44"/>
      <c r="GI9" s="44"/>
      <c r="GJ9" s="44"/>
      <c r="GK9" s="44"/>
      <c r="GL9" s="44"/>
      <c r="GM9" s="44"/>
      <c r="GN9" s="44"/>
      <c r="GO9" s="44"/>
      <c r="GP9" s="44"/>
      <c r="GQ9" s="44"/>
      <c r="GR9" s="44"/>
      <c r="GS9" s="44"/>
      <c r="GT9" s="44"/>
      <c r="GU9" s="44"/>
      <c r="GV9" s="44"/>
      <c r="GW9" s="44"/>
      <c r="GX9" s="44"/>
      <c r="GY9" s="44"/>
      <c r="GZ9" s="44"/>
      <c r="HA9" s="44"/>
      <c r="HB9" s="44"/>
      <c r="HC9" s="44"/>
      <c r="HD9" s="44"/>
      <c r="HE9" s="44"/>
      <c r="HF9" s="44"/>
      <c r="HG9" s="44"/>
      <c r="HH9" s="44"/>
      <c r="HI9" s="44"/>
      <c r="HJ9" s="44"/>
      <c r="HK9" s="44"/>
      <c r="HL9" s="44"/>
      <c r="HM9" s="44"/>
      <c r="HN9" s="44"/>
      <c r="HO9" s="44"/>
      <c r="HP9" s="44"/>
      <c r="HQ9" s="44"/>
    </row>
    <row r="10" spans="1:225" s="3" customFormat="1" ht="30" customHeight="1" thickBot="1" x14ac:dyDescent="0.3">
      <c r="A10" s="59" t="s">
        <v>39</v>
      </c>
      <c r="B10" s="79" t="s">
        <v>46</v>
      </c>
      <c r="C10" s="71" t="s">
        <v>45</v>
      </c>
      <c r="D10" s="22">
        <v>1</v>
      </c>
      <c r="E10" s="65">
        <f>F10-7</f>
        <v>44245</v>
      </c>
      <c r="F10" s="65">
        <v>44252</v>
      </c>
      <c r="G10" s="17"/>
      <c r="H10" s="17">
        <f t="shared" si="202"/>
        <v>8</v>
      </c>
      <c r="I10" s="44"/>
      <c r="J10" s="44"/>
      <c r="K10" s="44"/>
      <c r="L10" s="44"/>
      <c r="M10" s="44"/>
      <c r="N10" s="44"/>
      <c r="O10" s="44"/>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c r="DG10" s="44"/>
      <c r="DH10" s="44"/>
      <c r="DI10" s="44"/>
      <c r="DJ10" s="44"/>
      <c r="DK10" s="44"/>
      <c r="DL10" s="44"/>
      <c r="DM10" s="44"/>
      <c r="DN10" s="44"/>
      <c r="DO10" s="44"/>
      <c r="DP10" s="44"/>
      <c r="DQ10" s="44"/>
      <c r="DR10" s="44"/>
      <c r="DS10" s="44"/>
      <c r="DT10" s="44"/>
      <c r="DU10" s="44"/>
      <c r="DV10" s="44"/>
      <c r="DW10" s="44"/>
      <c r="DX10" s="44"/>
      <c r="DY10" s="44"/>
      <c r="DZ10" s="44"/>
      <c r="EA10" s="44"/>
      <c r="EB10" s="44"/>
      <c r="EC10" s="44"/>
      <c r="ED10" s="44"/>
      <c r="EE10" s="44"/>
      <c r="EF10" s="44"/>
      <c r="EG10" s="44"/>
      <c r="EH10" s="44"/>
      <c r="EI10" s="44"/>
      <c r="EJ10" s="44"/>
      <c r="EK10" s="44"/>
      <c r="EL10" s="44"/>
      <c r="EM10" s="44"/>
      <c r="EN10" s="44"/>
      <c r="EO10" s="44"/>
      <c r="EP10" s="44"/>
      <c r="EQ10" s="44"/>
      <c r="ER10" s="44"/>
      <c r="ES10" s="44"/>
      <c r="ET10" s="44"/>
      <c r="EU10" s="44"/>
      <c r="EV10" s="44"/>
      <c r="EW10" s="44"/>
      <c r="EX10" s="44"/>
      <c r="EY10" s="44"/>
      <c r="EZ10" s="44"/>
      <c r="FA10" s="44"/>
      <c r="FB10" s="44"/>
      <c r="FC10" s="44"/>
      <c r="FD10" s="44"/>
      <c r="FE10" s="44"/>
      <c r="FF10" s="44"/>
      <c r="FG10" s="44"/>
      <c r="FH10" s="44"/>
      <c r="FI10" s="44"/>
      <c r="FJ10" s="44"/>
      <c r="FK10" s="44"/>
      <c r="FL10" s="44"/>
      <c r="FM10" s="44"/>
      <c r="FN10" s="44"/>
      <c r="FO10" s="44"/>
      <c r="FP10" s="44"/>
      <c r="FQ10" s="44"/>
      <c r="FR10" s="44"/>
      <c r="FS10" s="44"/>
      <c r="FT10" s="44"/>
      <c r="FU10" s="44"/>
      <c r="FV10" s="44"/>
      <c r="FW10" s="44"/>
      <c r="FX10" s="44"/>
      <c r="FY10" s="44"/>
      <c r="FZ10" s="44"/>
      <c r="GA10" s="44"/>
      <c r="GB10" s="44"/>
      <c r="GC10" s="44"/>
      <c r="GD10" s="44"/>
      <c r="GE10" s="44"/>
      <c r="GF10" s="44"/>
      <c r="GG10" s="44"/>
      <c r="GH10" s="44"/>
      <c r="GI10" s="44"/>
      <c r="GJ10" s="44"/>
      <c r="GK10" s="44"/>
      <c r="GL10" s="44"/>
      <c r="GM10" s="44"/>
      <c r="GN10" s="44"/>
      <c r="GO10" s="44"/>
      <c r="GP10" s="44"/>
      <c r="GQ10" s="44"/>
      <c r="GR10" s="44"/>
      <c r="GS10" s="44"/>
      <c r="GT10" s="44"/>
      <c r="GU10" s="44"/>
      <c r="GV10" s="44"/>
      <c r="GW10" s="44"/>
      <c r="GX10" s="44"/>
      <c r="GY10" s="44"/>
      <c r="GZ10" s="44"/>
      <c r="HA10" s="44"/>
      <c r="HB10" s="44"/>
      <c r="HC10" s="44"/>
      <c r="HD10" s="44"/>
      <c r="HE10" s="44"/>
      <c r="HF10" s="44"/>
      <c r="HG10" s="44"/>
      <c r="HH10" s="44"/>
      <c r="HI10" s="44"/>
      <c r="HJ10" s="44"/>
      <c r="HK10" s="44"/>
      <c r="HL10" s="44"/>
      <c r="HM10" s="44"/>
      <c r="HN10" s="44"/>
      <c r="HO10" s="44"/>
      <c r="HP10" s="44"/>
      <c r="HQ10" s="44"/>
    </row>
    <row r="11" spans="1:225" s="3" customFormat="1" ht="30" customHeight="1" thickBot="1" x14ac:dyDescent="0.3">
      <c r="A11" s="58"/>
      <c r="B11" s="79" t="s">
        <v>70</v>
      </c>
      <c r="C11" s="71" t="s">
        <v>69</v>
      </c>
      <c r="D11" s="22">
        <v>1</v>
      </c>
      <c r="E11" s="65">
        <v>44249</v>
      </c>
      <c r="F11" s="65">
        <f>E11+7</f>
        <v>44256</v>
      </c>
      <c r="G11" s="17"/>
      <c r="H11" s="17"/>
      <c r="I11" s="44"/>
      <c r="J11" s="44"/>
      <c r="K11" s="44"/>
      <c r="L11" s="44"/>
      <c r="M11" s="44"/>
      <c r="N11" s="44"/>
      <c r="O11" s="44"/>
      <c r="P11" s="44"/>
      <c r="Q11" s="44"/>
      <c r="R11" s="44"/>
      <c r="S11" s="44"/>
      <c r="T11" s="44"/>
      <c r="U11" s="44"/>
      <c r="V11" s="44"/>
      <c r="W11" s="44"/>
      <c r="X11" s="44"/>
      <c r="Y11" s="45"/>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44"/>
      <c r="EB11" s="44"/>
      <c r="EC11" s="44"/>
      <c r="ED11" s="44"/>
      <c r="EE11" s="44"/>
      <c r="EF11" s="44"/>
      <c r="EG11" s="44"/>
      <c r="EH11" s="44"/>
      <c r="EI11" s="44"/>
      <c r="EJ11" s="44"/>
      <c r="EK11" s="44"/>
      <c r="EL11" s="44"/>
      <c r="EM11" s="44"/>
      <c r="EN11" s="44"/>
      <c r="EO11" s="44"/>
      <c r="EP11" s="44"/>
      <c r="EQ11" s="44"/>
      <c r="ER11" s="44"/>
      <c r="ES11" s="44"/>
      <c r="ET11" s="44"/>
      <c r="EU11" s="44"/>
      <c r="EV11" s="44"/>
      <c r="EW11" s="44"/>
      <c r="EX11" s="44"/>
      <c r="EY11" s="44"/>
      <c r="EZ11" s="44"/>
      <c r="FA11" s="44"/>
      <c r="FB11" s="44"/>
      <c r="FC11" s="44"/>
      <c r="FD11" s="44"/>
      <c r="FE11" s="44"/>
      <c r="FF11" s="44"/>
      <c r="FG11" s="44"/>
      <c r="FH11" s="44"/>
      <c r="FI11" s="44"/>
      <c r="FJ11" s="44"/>
      <c r="FK11" s="44"/>
      <c r="FL11" s="44"/>
      <c r="FM11" s="44"/>
      <c r="FN11" s="44"/>
      <c r="FO11" s="44"/>
      <c r="FP11" s="44"/>
      <c r="FQ11" s="44"/>
      <c r="FR11" s="44"/>
      <c r="FS11" s="44"/>
      <c r="FT11" s="44"/>
      <c r="FU11" s="44"/>
      <c r="FV11" s="44"/>
      <c r="FW11" s="44"/>
      <c r="FX11" s="44"/>
      <c r="FY11" s="44"/>
      <c r="FZ11" s="44"/>
      <c r="GA11" s="44"/>
      <c r="GB11" s="44"/>
      <c r="GC11" s="44"/>
      <c r="GD11" s="44"/>
      <c r="GE11" s="44"/>
      <c r="GF11" s="44"/>
      <c r="GG11" s="44"/>
      <c r="GH11" s="44"/>
      <c r="GI11" s="44"/>
      <c r="GJ11" s="44"/>
      <c r="GK11" s="44"/>
      <c r="GL11" s="44"/>
      <c r="GM11" s="44"/>
      <c r="GN11" s="44"/>
      <c r="GO11" s="44"/>
      <c r="GP11" s="44"/>
      <c r="GQ11" s="44"/>
      <c r="GR11" s="44"/>
      <c r="GS11" s="44"/>
      <c r="GT11" s="44"/>
      <c r="GU11" s="44"/>
      <c r="GV11" s="44"/>
      <c r="GW11" s="44"/>
      <c r="GX11" s="44"/>
      <c r="GY11" s="44"/>
      <c r="GZ11" s="44"/>
      <c r="HA11" s="44"/>
      <c r="HB11" s="44"/>
      <c r="HC11" s="44"/>
      <c r="HD11" s="44"/>
      <c r="HE11" s="44"/>
      <c r="HF11" s="44"/>
      <c r="HG11" s="44"/>
      <c r="HH11" s="44"/>
      <c r="HI11" s="44"/>
      <c r="HJ11" s="44"/>
      <c r="HK11" s="44"/>
      <c r="HL11" s="44"/>
      <c r="HM11" s="44"/>
      <c r="HN11" s="44"/>
      <c r="HO11" s="44"/>
      <c r="HP11" s="44"/>
      <c r="HQ11" s="44"/>
    </row>
    <row r="12" spans="1:225" s="3" customFormat="1" ht="30" customHeight="1" thickBot="1" x14ac:dyDescent="0.3">
      <c r="A12" s="58"/>
      <c r="B12" s="79" t="s">
        <v>68</v>
      </c>
      <c r="C12" s="71" t="s">
        <v>69</v>
      </c>
      <c r="D12" s="22">
        <v>1</v>
      </c>
      <c r="E12" s="65">
        <v>44260</v>
      </c>
      <c r="F12" s="65">
        <f>E12+7</f>
        <v>44267</v>
      </c>
      <c r="G12" s="17"/>
      <c r="H12" s="17"/>
      <c r="I12" s="44"/>
      <c r="J12" s="44"/>
      <c r="K12" s="44"/>
      <c r="L12" s="44"/>
      <c r="M12" s="44"/>
      <c r="N12" s="44"/>
      <c r="O12" s="44"/>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4"/>
      <c r="EI12" s="44"/>
      <c r="EJ12" s="44"/>
      <c r="EK12" s="44"/>
      <c r="EL12" s="44"/>
      <c r="EM12" s="44"/>
      <c r="EN12" s="44"/>
      <c r="EO12" s="44"/>
      <c r="EP12" s="44"/>
      <c r="EQ12" s="44"/>
      <c r="ER12" s="44"/>
      <c r="ES12" s="44"/>
      <c r="ET12" s="44"/>
      <c r="EU12" s="44"/>
      <c r="EV12" s="44"/>
      <c r="EW12" s="44"/>
      <c r="EX12" s="44"/>
      <c r="EY12" s="44"/>
      <c r="EZ12" s="44"/>
      <c r="FA12" s="44"/>
      <c r="FB12" s="44"/>
      <c r="FC12" s="44"/>
      <c r="FD12" s="44"/>
      <c r="FE12" s="44"/>
      <c r="FF12" s="44"/>
      <c r="FG12" s="44"/>
      <c r="FH12" s="44"/>
      <c r="FI12" s="44"/>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c r="GL12" s="44"/>
      <c r="GM12" s="44"/>
      <c r="GN12" s="44"/>
      <c r="GO12" s="44"/>
      <c r="GP12" s="44"/>
      <c r="GQ12" s="44"/>
      <c r="GR12" s="44"/>
      <c r="GS12" s="44"/>
      <c r="GT12" s="44"/>
      <c r="GU12" s="44"/>
      <c r="GV12" s="44"/>
      <c r="GW12" s="44"/>
      <c r="GX12" s="44"/>
      <c r="GY12" s="44"/>
      <c r="GZ12" s="44"/>
      <c r="HA12" s="44"/>
      <c r="HB12" s="44"/>
      <c r="HC12" s="44"/>
      <c r="HD12" s="44"/>
      <c r="HE12" s="44"/>
      <c r="HF12" s="44"/>
      <c r="HG12" s="44"/>
      <c r="HH12" s="44"/>
      <c r="HI12" s="44"/>
      <c r="HJ12" s="44"/>
      <c r="HK12" s="44"/>
      <c r="HL12" s="44"/>
      <c r="HM12" s="44"/>
      <c r="HN12" s="44"/>
      <c r="HO12" s="44"/>
      <c r="HP12" s="44"/>
      <c r="HQ12" s="44"/>
    </row>
    <row r="13" spans="1:225" s="3" customFormat="1" ht="30" customHeight="1" thickBot="1" x14ac:dyDescent="0.3">
      <c r="A13" s="58"/>
      <c r="B13" s="79" t="s">
        <v>67</v>
      </c>
      <c r="C13" s="71" t="s">
        <v>45</v>
      </c>
      <c r="D13" s="22">
        <v>0.9</v>
      </c>
      <c r="E13" s="65">
        <v>44260</v>
      </c>
      <c r="F13" s="65">
        <v>44274</v>
      </c>
      <c r="G13" s="17"/>
      <c r="H13" s="17"/>
      <c r="I13" s="44"/>
      <c r="J13" s="44"/>
      <c r="K13" s="44"/>
      <c r="L13" s="44"/>
      <c r="M13" s="44"/>
      <c r="N13" s="44"/>
      <c r="O13" s="44"/>
      <c r="P13" s="44"/>
      <c r="Q13" s="44"/>
      <c r="R13" s="44"/>
      <c r="S13" s="44"/>
      <c r="T13" s="44"/>
      <c r="U13" s="44"/>
      <c r="V13" s="44"/>
      <c r="W13" s="44"/>
      <c r="X13" s="44"/>
      <c r="Y13" s="45"/>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D13" s="44"/>
      <c r="EE13" s="44"/>
      <c r="EF13" s="44"/>
      <c r="EG13" s="44"/>
      <c r="EH13" s="44"/>
      <c r="EI13" s="44"/>
      <c r="EJ13" s="44"/>
      <c r="EK13" s="44"/>
      <c r="EL13" s="44"/>
      <c r="EM13" s="44"/>
      <c r="EN13" s="44"/>
      <c r="EO13" s="44"/>
      <c r="EP13" s="44"/>
      <c r="EQ13" s="44"/>
      <c r="ER13" s="44"/>
      <c r="ES13" s="44"/>
      <c r="ET13" s="44"/>
      <c r="EU13" s="44"/>
      <c r="EV13" s="44"/>
      <c r="EW13" s="44"/>
      <c r="EX13" s="44"/>
      <c r="EY13" s="44"/>
      <c r="EZ13" s="44"/>
      <c r="FA13" s="44"/>
      <c r="FB13" s="44"/>
      <c r="FC13" s="44"/>
      <c r="FD13" s="44"/>
      <c r="FE13" s="44"/>
      <c r="FF13" s="44"/>
      <c r="FG13" s="44"/>
      <c r="FH13" s="44"/>
      <c r="FI13" s="44"/>
      <c r="FJ13" s="44"/>
      <c r="FK13" s="44"/>
      <c r="FL13" s="44"/>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4"/>
      <c r="GS13" s="44"/>
      <c r="GT13" s="44"/>
      <c r="GU13" s="44"/>
      <c r="GV13" s="44"/>
      <c r="GW13" s="44"/>
      <c r="GX13" s="44"/>
      <c r="GY13" s="44"/>
      <c r="GZ13" s="44"/>
      <c r="HA13" s="44"/>
      <c r="HB13" s="44"/>
      <c r="HC13" s="44"/>
      <c r="HD13" s="44"/>
      <c r="HE13" s="44"/>
      <c r="HF13" s="44"/>
      <c r="HG13" s="44"/>
      <c r="HH13" s="44"/>
      <c r="HI13" s="44"/>
      <c r="HJ13" s="44"/>
      <c r="HK13" s="44"/>
      <c r="HL13" s="44"/>
      <c r="HM13" s="44"/>
      <c r="HN13" s="44"/>
      <c r="HO13" s="44"/>
      <c r="HP13" s="44"/>
      <c r="HQ13" s="44"/>
    </row>
    <row r="14" spans="1:225" s="3" customFormat="1" ht="30" customHeight="1" thickBot="1" x14ac:dyDescent="0.3">
      <c r="A14" s="58"/>
      <c r="B14" s="79" t="s">
        <v>49</v>
      </c>
      <c r="C14" s="71" t="s">
        <v>50</v>
      </c>
      <c r="D14" s="22">
        <v>0.75</v>
      </c>
      <c r="E14" s="65">
        <v>44274</v>
      </c>
      <c r="F14" s="65">
        <f>E14+21</f>
        <v>44295</v>
      </c>
      <c r="G14" s="17"/>
      <c r="H14" s="17">
        <f t="shared" si="202"/>
        <v>22</v>
      </c>
      <c r="I14" s="44"/>
      <c r="J14" s="44"/>
      <c r="K14" s="44"/>
      <c r="L14" s="44"/>
      <c r="M14" s="44"/>
      <c r="N14" s="44"/>
      <c r="O14" s="44"/>
      <c r="P14" s="44"/>
      <c r="Q14" s="44"/>
      <c r="R14" s="44"/>
      <c r="S14" s="44"/>
      <c r="T14" s="44"/>
      <c r="U14" s="44"/>
      <c r="V14" s="44"/>
      <c r="W14" s="44"/>
      <c r="X14" s="44"/>
      <c r="Y14" s="45"/>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44"/>
      <c r="EJ14" s="44"/>
      <c r="EK14" s="44"/>
      <c r="EL14" s="44"/>
      <c r="EM14" s="44"/>
      <c r="EN14" s="44"/>
      <c r="EO14" s="44"/>
      <c r="EP14" s="44"/>
      <c r="EQ14" s="44"/>
      <c r="ER14" s="44"/>
      <c r="ES14" s="44"/>
      <c r="ET14" s="44"/>
      <c r="EU14" s="44"/>
      <c r="EV14" s="44"/>
      <c r="EW14" s="44"/>
      <c r="EX14" s="44"/>
      <c r="EY14" s="44"/>
      <c r="EZ14" s="44"/>
      <c r="FA14" s="44"/>
      <c r="FB14" s="44"/>
      <c r="FC14" s="44"/>
      <c r="FD14" s="44"/>
      <c r="FE14" s="44"/>
      <c r="FF14" s="44"/>
      <c r="FG14" s="44"/>
      <c r="FH14" s="44"/>
      <c r="FI14" s="44"/>
      <c r="FJ14" s="44"/>
      <c r="FK14" s="44"/>
      <c r="FL14" s="44"/>
      <c r="FM14" s="44"/>
      <c r="FN14" s="44"/>
      <c r="FO14" s="44"/>
      <c r="FP14" s="44"/>
      <c r="FQ14" s="44"/>
      <c r="FR14" s="44"/>
      <c r="FS14" s="44"/>
      <c r="FT14" s="44"/>
      <c r="FU14" s="44"/>
      <c r="FV14" s="44"/>
      <c r="FW14" s="44"/>
      <c r="FX14" s="44"/>
      <c r="FY14" s="44"/>
      <c r="FZ14" s="44"/>
      <c r="GA14" s="44"/>
      <c r="GB14" s="44"/>
      <c r="GC14" s="44"/>
      <c r="GD14" s="44"/>
      <c r="GE14" s="44"/>
      <c r="GF14" s="44"/>
      <c r="GG14" s="44"/>
      <c r="GH14" s="44"/>
      <c r="GI14" s="44"/>
      <c r="GJ14" s="44"/>
      <c r="GK14" s="44"/>
      <c r="GL14" s="44"/>
      <c r="GM14" s="44"/>
      <c r="GN14" s="44"/>
      <c r="GO14" s="44"/>
      <c r="GP14" s="44"/>
      <c r="GQ14" s="44"/>
      <c r="GR14" s="44"/>
      <c r="GS14" s="44"/>
      <c r="GT14" s="44"/>
      <c r="GU14" s="44"/>
      <c r="GV14" s="44"/>
      <c r="GW14" s="44"/>
      <c r="GX14" s="44"/>
      <c r="GY14" s="44"/>
      <c r="GZ14" s="44"/>
      <c r="HA14" s="44"/>
      <c r="HB14" s="44"/>
      <c r="HC14" s="44"/>
      <c r="HD14" s="44"/>
      <c r="HE14" s="44"/>
      <c r="HF14" s="44"/>
      <c r="HG14" s="44"/>
      <c r="HH14" s="44"/>
      <c r="HI14" s="44"/>
      <c r="HJ14" s="44"/>
      <c r="HK14" s="44"/>
      <c r="HL14" s="44"/>
      <c r="HM14" s="44"/>
      <c r="HN14" s="44"/>
      <c r="HO14" s="44"/>
      <c r="HP14" s="44"/>
      <c r="HQ14" s="44"/>
    </row>
    <row r="15" spans="1:225" s="3" customFormat="1" ht="30" customHeight="1" thickBot="1" x14ac:dyDescent="0.3">
      <c r="A15" s="58"/>
      <c r="B15" s="79" t="s">
        <v>47</v>
      </c>
      <c r="C15" s="71" t="s">
        <v>48</v>
      </c>
      <c r="D15" s="22">
        <v>0.5</v>
      </c>
      <c r="E15" s="65">
        <v>44281</v>
      </c>
      <c r="F15" s="65">
        <f>E15+14</f>
        <v>44295</v>
      </c>
      <c r="G15" s="17"/>
      <c r="H15" s="17">
        <f t="shared" si="202"/>
        <v>15</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44"/>
      <c r="EJ15" s="44"/>
      <c r="EK15" s="44"/>
      <c r="EL15" s="44"/>
      <c r="EM15" s="44"/>
      <c r="EN15" s="44"/>
      <c r="EO15" s="44"/>
      <c r="EP15" s="44"/>
      <c r="EQ15" s="44"/>
      <c r="ER15" s="44"/>
      <c r="ES15" s="44"/>
      <c r="ET15" s="44"/>
      <c r="EU15" s="44"/>
      <c r="EV15" s="44"/>
      <c r="EW15" s="44"/>
      <c r="EX15" s="44"/>
      <c r="EY15" s="44"/>
      <c r="EZ15" s="44"/>
      <c r="FA15" s="44"/>
      <c r="FB15" s="44"/>
      <c r="FC15" s="44"/>
      <c r="FD15" s="44"/>
      <c r="FE15" s="44"/>
      <c r="FF15" s="44"/>
      <c r="FG15" s="44"/>
      <c r="FH15" s="44"/>
      <c r="FI15" s="44"/>
      <c r="FJ15" s="44"/>
      <c r="FK15" s="44"/>
      <c r="FL15" s="44"/>
      <c r="FM15" s="44"/>
      <c r="FN15" s="44"/>
      <c r="FO15" s="44"/>
      <c r="FP15" s="44"/>
      <c r="FQ15" s="44"/>
      <c r="FR15" s="44"/>
      <c r="FS15" s="44"/>
      <c r="FT15" s="44"/>
      <c r="FU15" s="44"/>
      <c r="FV15" s="44"/>
      <c r="FW15" s="44"/>
      <c r="FX15" s="44"/>
      <c r="FY15" s="44"/>
      <c r="FZ15" s="44"/>
      <c r="GA15" s="44"/>
      <c r="GB15" s="44"/>
      <c r="GC15" s="44"/>
      <c r="GD15" s="44"/>
      <c r="GE15" s="44"/>
      <c r="GF15" s="44"/>
      <c r="GG15" s="44"/>
      <c r="GH15" s="44"/>
      <c r="GI15" s="44"/>
      <c r="GJ15" s="44"/>
      <c r="GK15" s="44"/>
      <c r="GL15" s="44"/>
      <c r="GM15" s="44"/>
      <c r="GN15" s="44"/>
      <c r="GO15" s="44"/>
      <c r="GP15" s="44"/>
      <c r="GQ15" s="44"/>
      <c r="GR15" s="44"/>
      <c r="GS15" s="44"/>
      <c r="GT15" s="44"/>
      <c r="GU15" s="44"/>
      <c r="GV15" s="44"/>
      <c r="GW15" s="44"/>
      <c r="GX15" s="44"/>
      <c r="GY15" s="44"/>
      <c r="GZ15" s="44"/>
      <c r="HA15" s="44"/>
      <c r="HB15" s="44"/>
      <c r="HC15" s="44"/>
      <c r="HD15" s="44"/>
      <c r="HE15" s="44"/>
      <c r="HF15" s="44"/>
      <c r="HG15" s="44"/>
      <c r="HH15" s="44"/>
      <c r="HI15" s="44"/>
      <c r="HJ15" s="44"/>
      <c r="HK15" s="44"/>
      <c r="HL15" s="44"/>
      <c r="HM15" s="44"/>
      <c r="HN15" s="44"/>
      <c r="HO15" s="44"/>
      <c r="HP15" s="44"/>
      <c r="HQ15" s="44"/>
    </row>
    <row r="16" spans="1:225" s="3" customFormat="1" ht="30" customHeight="1" thickBot="1" x14ac:dyDescent="0.3">
      <c r="A16" s="58"/>
      <c r="B16" s="79" t="s">
        <v>65</v>
      </c>
      <c r="C16" s="71" t="s">
        <v>66</v>
      </c>
      <c r="D16" s="22">
        <v>0.8</v>
      </c>
      <c r="E16" s="65">
        <v>44281</v>
      </c>
      <c r="F16" s="65">
        <v>44295</v>
      </c>
      <c r="G16" s="17"/>
      <c r="H16" s="17"/>
      <c r="I16" s="44"/>
      <c r="J16" s="44"/>
      <c r="K16" s="44"/>
      <c r="L16" s="44"/>
      <c r="M16" s="44"/>
      <c r="N16" s="44"/>
      <c r="O16" s="44"/>
      <c r="P16" s="44"/>
      <c r="Q16" s="44"/>
      <c r="R16" s="44"/>
      <c r="S16" s="44"/>
      <c r="T16" s="44"/>
      <c r="U16" s="44"/>
      <c r="V16" s="44"/>
      <c r="W16" s="44"/>
      <c r="X16" s="44"/>
      <c r="Y16" s="45"/>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U16" s="44"/>
      <c r="EV16" s="44"/>
      <c r="EW16" s="44"/>
      <c r="EX16" s="44"/>
      <c r="EY16" s="44"/>
      <c r="EZ16" s="44"/>
      <c r="FA16" s="44"/>
      <c r="FB16" s="44"/>
      <c r="FC16" s="44"/>
      <c r="FD16" s="44"/>
      <c r="FE16" s="44"/>
      <c r="FF16" s="44"/>
      <c r="FG16" s="44"/>
      <c r="FH16" s="44"/>
      <c r="FI16" s="44"/>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c r="GO16" s="44"/>
      <c r="GP16" s="44"/>
      <c r="GQ16" s="44"/>
      <c r="GR16" s="44"/>
      <c r="GS16" s="44"/>
      <c r="GT16" s="44"/>
      <c r="GU16" s="44"/>
      <c r="GV16" s="44"/>
      <c r="GW16" s="44"/>
      <c r="GX16" s="44"/>
      <c r="GY16" s="44"/>
      <c r="GZ16" s="44"/>
      <c r="HA16" s="44"/>
      <c r="HB16" s="44"/>
      <c r="HC16" s="44"/>
      <c r="HD16" s="44"/>
      <c r="HE16" s="44"/>
      <c r="HF16" s="44"/>
      <c r="HG16" s="44"/>
      <c r="HH16" s="44"/>
      <c r="HI16" s="44"/>
      <c r="HJ16" s="44"/>
      <c r="HK16" s="44"/>
      <c r="HL16" s="44"/>
      <c r="HM16" s="44"/>
      <c r="HN16" s="44"/>
      <c r="HO16" s="44"/>
      <c r="HP16" s="44"/>
      <c r="HQ16" s="44"/>
    </row>
    <row r="17" spans="1:225" s="3" customFormat="1" ht="30" customHeight="1" thickBot="1" x14ac:dyDescent="0.3">
      <c r="A17" s="58"/>
      <c r="B17" s="79" t="s">
        <v>56</v>
      </c>
      <c r="C17" s="71" t="s">
        <v>57</v>
      </c>
      <c r="D17" s="22">
        <v>0.25</v>
      </c>
      <c r="E17" s="65">
        <v>44288</v>
      </c>
      <c r="F17" s="65">
        <v>44295</v>
      </c>
      <c r="G17" s="17"/>
      <c r="H17" s="17">
        <f t="shared" si="202"/>
        <v>8</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c r="DG17" s="44"/>
      <c r="DH17" s="44"/>
      <c r="DI17" s="44"/>
      <c r="DJ17" s="44"/>
      <c r="DK17" s="44"/>
      <c r="DL17" s="44"/>
      <c r="DM17" s="44"/>
      <c r="DN17" s="44"/>
      <c r="DO17" s="44"/>
      <c r="DP17" s="44"/>
      <c r="DQ17" s="44"/>
      <c r="DR17" s="44"/>
      <c r="DS17" s="44"/>
      <c r="DT17" s="44"/>
      <c r="DU17" s="44"/>
      <c r="DV17" s="44"/>
      <c r="DW17" s="44"/>
      <c r="DX17" s="44"/>
      <c r="DY17" s="44"/>
      <c r="DZ17" s="44"/>
      <c r="EA17" s="44"/>
      <c r="EB17" s="44"/>
      <c r="EC17" s="44"/>
      <c r="ED17" s="44"/>
      <c r="EE17" s="44"/>
      <c r="EF17" s="44"/>
      <c r="EG17" s="44"/>
      <c r="EH17" s="44"/>
      <c r="EI17" s="44"/>
      <c r="EJ17" s="44"/>
      <c r="EK17" s="44"/>
      <c r="EL17" s="44"/>
      <c r="EM17" s="44"/>
      <c r="EN17" s="44"/>
      <c r="EO17" s="44"/>
      <c r="EP17" s="44"/>
      <c r="EQ17" s="44"/>
      <c r="ER17" s="44"/>
      <c r="ES17" s="44"/>
      <c r="ET17" s="44"/>
      <c r="EU17" s="44"/>
      <c r="EV17" s="44"/>
      <c r="EW17" s="44"/>
      <c r="EX17" s="44"/>
      <c r="EY17" s="44"/>
      <c r="EZ17" s="44"/>
      <c r="FA17" s="44"/>
      <c r="FB17" s="44"/>
      <c r="FC17" s="44"/>
      <c r="FD17" s="44"/>
      <c r="FE17" s="44"/>
      <c r="FF17" s="44"/>
      <c r="FG17" s="44"/>
      <c r="FH17" s="44"/>
      <c r="FI17" s="44"/>
      <c r="FJ17" s="44"/>
      <c r="FK17" s="44"/>
      <c r="FL17" s="44"/>
      <c r="FM17" s="44"/>
      <c r="FN17" s="44"/>
      <c r="FO17" s="44"/>
      <c r="FP17" s="44"/>
      <c r="FQ17" s="44"/>
      <c r="FR17" s="44"/>
      <c r="FS17" s="44"/>
      <c r="FT17" s="44"/>
      <c r="FU17" s="44"/>
      <c r="FV17" s="44"/>
      <c r="FW17" s="44"/>
      <c r="FX17" s="44"/>
      <c r="FY17" s="44"/>
      <c r="FZ17" s="44"/>
      <c r="GA17" s="44"/>
      <c r="GB17" s="44"/>
      <c r="GC17" s="44"/>
      <c r="GD17" s="44"/>
      <c r="GE17" s="44"/>
      <c r="GF17" s="44"/>
      <c r="GG17" s="44"/>
      <c r="GH17" s="44"/>
      <c r="GI17" s="44"/>
      <c r="GJ17" s="44"/>
      <c r="GK17" s="44"/>
      <c r="GL17" s="44"/>
      <c r="GM17" s="44"/>
      <c r="GN17" s="44"/>
      <c r="GO17" s="44"/>
      <c r="GP17" s="44"/>
      <c r="GQ17" s="44"/>
      <c r="GR17" s="44"/>
      <c r="GS17" s="44"/>
      <c r="GT17" s="44"/>
      <c r="GU17" s="44"/>
      <c r="GV17" s="44"/>
      <c r="GW17" s="44"/>
      <c r="GX17" s="44"/>
      <c r="GY17" s="44"/>
      <c r="GZ17" s="44"/>
      <c r="HA17" s="44"/>
      <c r="HB17" s="44"/>
      <c r="HC17" s="44"/>
      <c r="HD17" s="44"/>
      <c r="HE17" s="44"/>
      <c r="HF17" s="44"/>
      <c r="HG17" s="44"/>
      <c r="HH17" s="44"/>
      <c r="HI17" s="44"/>
      <c r="HJ17" s="44"/>
      <c r="HK17" s="44"/>
      <c r="HL17" s="44"/>
      <c r="HM17" s="44"/>
      <c r="HN17" s="44"/>
      <c r="HO17" s="44"/>
      <c r="HP17" s="44"/>
      <c r="HQ17" s="44"/>
    </row>
    <row r="18" spans="1:225" s="3" customFormat="1" ht="30" customHeight="1" thickBot="1" x14ac:dyDescent="0.3">
      <c r="A18" s="58"/>
      <c r="B18" s="79" t="s">
        <v>71</v>
      </c>
      <c r="C18" s="71" t="s">
        <v>45</v>
      </c>
      <c r="D18" s="22">
        <v>0</v>
      </c>
      <c r="E18" s="65">
        <v>44295</v>
      </c>
      <c r="F18" s="65">
        <f>E18+7</f>
        <v>44302</v>
      </c>
      <c r="G18" s="17"/>
      <c r="H18" s="17"/>
      <c r="I18" s="44"/>
      <c r="J18" s="44"/>
      <c r="K18" s="44"/>
      <c r="L18" s="44"/>
      <c r="M18" s="44"/>
      <c r="N18" s="44"/>
      <c r="O18" s="44"/>
      <c r="P18" s="44"/>
      <c r="Q18" s="44"/>
      <c r="R18" s="44"/>
      <c r="S18" s="44"/>
      <c r="T18" s="44"/>
      <c r="U18" s="44"/>
      <c r="V18" s="44"/>
      <c r="W18" s="44"/>
      <c r="X18" s="44"/>
      <c r="Y18" s="45"/>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c r="DG18" s="44"/>
      <c r="DH18" s="44"/>
      <c r="DI18" s="44"/>
      <c r="DJ18" s="44"/>
      <c r="DK18" s="44"/>
      <c r="DL18" s="44"/>
      <c r="DM18" s="44"/>
      <c r="DN18" s="44"/>
      <c r="DO18" s="44"/>
      <c r="DP18" s="44"/>
      <c r="DQ18" s="44"/>
      <c r="DR18" s="44"/>
      <c r="DS18" s="44"/>
      <c r="DT18" s="44"/>
      <c r="DU18" s="44"/>
      <c r="DV18" s="44"/>
      <c r="DW18" s="44"/>
      <c r="DX18" s="44"/>
      <c r="DY18" s="44"/>
      <c r="DZ18" s="44"/>
      <c r="EA18" s="44"/>
      <c r="EB18" s="44"/>
      <c r="EC18" s="44"/>
      <c r="ED18" s="44"/>
      <c r="EE18" s="44"/>
      <c r="EF18" s="44"/>
      <c r="EG18" s="44"/>
      <c r="EH18" s="44"/>
      <c r="EI18" s="44"/>
      <c r="EJ18" s="44"/>
      <c r="EK18" s="44"/>
      <c r="EL18" s="44"/>
      <c r="EM18" s="44"/>
      <c r="EN18" s="44"/>
      <c r="EO18" s="44"/>
      <c r="EP18" s="44"/>
      <c r="EQ18" s="44"/>
      <c r="ER18" s="44"/>
      <c r="ES18" s="44"/>
      <c r="ET18" s="44"/>
      <c r="EU18" s="44"/>
      <c r="EV18" s="44"/>
      <c r="EW18" s="44"/>
      <c r="EX18" s="44"/>
      <c r="EY18" s="44"/>
      <c r="EZ18" s="44"/>
      <c r="FA18" s="44"/>
      <c r="FB18" s="44"/>
      <c r="FC18" s="44"/>
      <c r="FD18" s="44"/>
      <c r="FE18" s="44"/>
      <c r="FF18" s="44"/>
      <c r="FG18" s="44"/>
      <c r="FH18" s="44"/>
      <c r="FI18" s="44"/>
      <c r="FJ18" s="44"/>
      <c r="FK18" s="44"/>
      <c r="FL18" s="44"/>
      <c r="FM18" s="44"/>
      <c r="FN18" s="44"/>
      <c r="FO18" s="44"/>
      <c r="FP18" s="44"/>
      <c r="FQ18" s="44"/>
      <c r="FR18" s="44"/>
      <c r="FS18" s="44"/>
      <c r="FT18" s="44"/>
      <c r="FU18" s="44"/>
      <c r="FV18" s="44"/>
      <c r="FW18" s="44"/>
      <c r="FX18" s="44"/>
      <c r="FY18" s="44"/>
      <c r="FZ18" s="44"/>
      <c r="GA18" s="44"/>
      <c r="GB18" s="44"/>
      <c r="GC18" s="44"/>
      <c r="GD18" s="44"/>
      <c r="GE18" s="44"/>
      <c r="GF18" s="44"/>
      <c r="GG18" s="44"/>
      <c r="GH18" s="44"/>
      <c r="GI18" s="44"/>
      <c r="GJ18" s="44"/>
      <c r="GK18" s="44"/>
      <c r="GL18" s="44"/>
      <c r="GM18" s="44"/>
      <c r="GN18" s="44"/>
      <c r="GO18" s="44"/>
      <c r="GP18" s="44"/>
      <c r="GQ18" s="44"/>
      <c r="GR18" s="44"/>
      <c r="GS18" s="44"/>
      <c r="GT18" s="44"/>
      <c r="GU18" s="44"/>
      <c r="GV18" s="44"/>
      <c r="GW18" s="44"/>
      <c r="GX18" s="44"/>
      <c r="GY18" s="44"/>
      <c r="GZ18" s="44"/>
      <c r="HA18" s="44"/>
      <c r="HB18" s="44"/>
      <c r="HC18" s="44"/>
      <c r="HD18" s="44"/>
      <c r="HE18" s="44"/>
      <c r="HF18" s="44"/>
      <c r="HG18" s="44"/>
      <c r="HH18" s="44"/>
      <c r="HI18" s="44"/>
      <c r="HJ18" s="44"/>
      <c r="HK18" s="44"/>
      <c r="HL18" s="44"/>
      <c r="HM18" s="44"/>
      <c r="HN18" s="44"/>
      <c r="HO18" s="44"/>
      <c r="HP18" s="44"/>
      <c r="HQ18" s="44"/>
    </row>
    <row r="19" spans="1:225" s="3" customFormat="1" ht="30" customHeight="1" thickBot="1" x14ac:dyDescent="0.3">
      <c r="A19" s="59" t="s">
        <v>40</v>
      </c>
      <c r="B19" s="23" t="s">
        <v>51</v>
      </c>
      <c r="C19" s="72"/>
      <c r="D19" s="24"/>
      <c r="E19" s="25"/>
      <c r="F19" s="26"/>
      <c r="G19" s="17"/>
      <c r="H19" s="17" t="str">
        <f t="shared" si="202"/>
        <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c r="CY19" s="44"/>
      <c r="CZ19" s="44"/>
      <c r="DA19" s="44"/>
      <c r="DB19" s="44"/>
      <c r="DC19" s="44"/>
      <c r="DD19" s="44"/>
      <c r="DE19" s="44"/>
      <c r="DF19" s="44"/>
      <c r="DG19" s="44"/>
      <c r="DH19" s="44"/>
      <c r="DI19" s="44"/>
      <c r="DJ19" s="44"/>
      <c r="DK19" s="44"/>
      <c r="DL19" s="44"/>
      <c r="DM19" s="44"/>
      <c r="DN19" s="44"/>
      <c r="DO19" s="44"/>
      <c r="DP19" s="44"/>
      <c r="DQ19" s="44"/>
      <c r="DR19" s="44"/>
      <c r="DS19" s="44"/>
      <c r="DT19" s="44"/>
      <c r="DU19" s="44"/>
      <c r="DV19" s="44"/>
      <c r="DW19" s="44"/>
      <c r="DX19" s="44"/>
      <c r="DY19" s="44"/>
      <c r="DZ19" s="44"/>
      <c r="EA19" s="44"/>
      <c r="EB19" s="44"/>
      <c r="EC19" s="44"/>
      <c r="ED19" s="44"/>
      <c r="EE19" s="44"/>
      <c r="EF19" s="44"/>
      <c r="EG19" s="44"/>
      <c r="EH19" s="44"/>
      <c r="EI19" s="44"/>
      <c r="EJ19" s="44"/>
      <c r="EK19" s="44"/>
      <c r="EL19" s="44"/>
      <c r="EM19" s="44"/>
      <c r="EN19" s="44"/>
      <c r="EO19" s="44"/>
      <c r="EP19" s="44"/>
      <c r="EQ19" s="44"/>
      <c r="ER19" s="44"/>
      <c r="ES19" s="44"/>
      <c r="ET19" s="44"/>
      <c r="EU19" s="44"/>
      <c r="EV19" s="44"/>
      <c r="EW19" s="44"/>
      <c r="EX19" s="44"/>
      <c r="EY19" s="44"/>
      <c r="EZ19" s="44"/>
      <c r="FA19" s="44"/>
      <c r="FB19" s="44"/>
      <c r="FC19" s="44"/>
      <c r="FD19" s="44"/>
      <c r="FE19" s="44"/>
      <c r="FF19" s="44"/>
      <c r="FG19" s="44"/>
      <c r="FH19" s="44"/>
      <c r="FI19" s="44"/>
      <c r="FJ19" s="44"/>
      <c r="FK19" s="44"/>
      <c r="FL19" s="44"/>
      <c r="FM19" s="44"/>
      <c r="FN19" s="44"/>
      <c r="FO19" s="44"/>
      <c r="FP19" s="44"/>
      <c r="FQ19" s="44"/>
      <c r="FR19" s="44"/>
      <c r="FS19" s="44"/>
      <c r="FT19" s="44"/>
      <c r="FU19" s="44"/>
      <c r="FV19" s="44"/>
      <c r="FW19" s="44"/>
      <c r="FX19" s="44"/>
      <c r="FY19" s="44"/>
      <c r="FZ19" s="44"/>
      <c r="GA19" s="44"/>
      <c r="GB19" s="44"/>
      <c r="GC19" s="44"/>
      <c r="GD19" s="44"/>
      <c r="GE19" s="44"/>
      <c r="GF19" s="44"/>
      <c r="GG19" s="44"/>
      <c r="GH19" s="44"/>
      <c r="GI19" s="44"/>
      <c r="GJ19" s="44"/>
      <c r="GK19" s="44"/>
      <c r="GL19" s="44"/>
      <c r="GM19" s="44"/>
      <c r="GN19" s="44"/>
      <c r="GO19" s="44"/>
      <c r="GP19" s="44"/>
      <c r="GQ19" s="44"/>
      <c r="GR19" s="44"/>
      <c r="GS19" s="44"/>
      <c r="GT19" s="44"/>
      <c r="GU19" s="44"/>
      <c r="GV19" s="44"/>
      <c r="GW19" s="44"/>
      <c r="GX19" s="44"/>
      <c r="GY19" s="44"/>
      <c r="GZ19" s="44"/>
      <c r="HA19" s="44"/>
      <c r="HB19" s="44"/>
      <c r="HC19" s="44"/>
      <c r="HD19" s="44"/>
      <c r="HE19" s="44"/>
      <c r="HF19" s="44"/>
      <c r="HG19" s="44"/>
      <c r="HH19" s="44"/>
      <c r="HI19" s="44"/>
      <c r="HJ19" s="44"/>
      <c r="HK19" s="44"/>
      <c r="HL19" s="44"/>
      <c r="HM19" s="44"/>
      <c r="HN19" s="44"/>
      <c r="HO19" s="44"/>
      <c r="HP19" s="44"/>
      <c r="HQ19" s="44"/>
    </row>
    <row r="20" spans="1:225" s="3" customFormat="1" ht="30" customHeight="1" thickBot="1" x14ac:dyDescent="0.3">
      <c r="A20" s="58"/>
      <c r="B20" s="80" t="s">
        <v>59</v>
      </c>
      <c r="C20" s="73"/>
      <c r="D20" s="27">
        <v>0</v>
      </c>
      <c r="E20" s="66">
        <f>E21</f>
        <v>44315</v>
      </c>
      <c r="F20" s="66">
        <f>E20+7</f>
        <v>44322</v>
      </c>
      <c r="G20" s="17"/>
      <c r="H20" s="17">
        <f t="shared" si="202"/>
        <v>8</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c r="CY20" s="44"/>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4"/>
      <c r="DX20" s="44"/>
      <c r="DY20" s="44"/>
      <c r="DZ20" s="44"/>
      <c r="EA20" s="44"/>
      <c r="EB20" s="44"/>
      <c r="EC20" s="44"/>
      <c r="ED20" s="44"/>
      <c r="EE20" s="44"/>
      <c r="EF20" s="44"/>
      <c r="EG20" s="44"/>
      <c r="EH20" s="44"/>
      <c r="EI20" s="44"/>
      <c r="EJ20" s="44"/>
      <c r="EK20" s="44"/>
      <c r="EL20" s="44"/>
      <c r="EM20" s="44"/>
      <c r="EN20" s="44"/>
      <c r="EO20" s="44"/>
      <c r="EP20" s="44"/>
      <c r="EQ20" s="44"/>
      <c r="ER20" s="44"/>
      <c r="ES20" s="44"/>
      <c r="ET20" s="44"/>
      <c r="EU20" s="44"/>
      <c r="EV20" s="44"/>
      <c r="EW20" s="44"/>
      <c r="EX20" s="44"/>
      <c r="EY20" s="44"/>
      <c r="EZ20" s="44"/>
      <c r="FA20" s="44"/>
      <c r="FB20" s="44"/>
      <c r="FC20" s="44"/>
      <c r="FD20" s="44"/>
      <c r="FE20" s="44"/>
      <c r="FF20" s="44"/>
      <c r="FG20" s="44"/>
      <c r="FH20" s="44"/>
      <c r="FI20" s="44"/>
      <c r="FJ20" s="44"/>
      <c r="FK20" s="44"/>
      <c r="FL20" s="44"/>
      <c r="FM20" s="44"/>
      <c r="FN20" s="44"/>
      <c r="FO20" s="44"/>
      <c r="FP20" s="44"/>
      <c r="FQ20" s="44"/>
      <c r="FR20" s="44"/>
      <c r="FS20" s="44"/>
      <c r="FT20" s="44"/>
      <c r="FU20" s="44"/>
      <c r="FV20" s="44"/>
      <c r="FW20" s="44"/>
      <c r="FX20" s="44"/>
      <c r="FY20" s="44"/>
      <c r="FZ20" s="44"/>
      <c r="GA20" s="44"/>
      <c r="GB20" s="44"/>
      <c r="GC20" s="44"/>
      <c r="GD20" s="44"/>
      <c r="GE20" s="44"/>
      <c r="GF20" s="44"/>
      <c r="GG20" s="44"/>
      <c r="GH20" s="44"/>
      <c r="GI20" s="44"/>
      <c r="GJ20" s="44"/>
      <c r="GK20" s="44"/>
      <c r="GL20" s="44"/>
      <c r="GM20" s="44"/>
      <c r="GN20" s="44"/>
      <c r="GO20" s="44"/>
      <c r="GP20" s="44"/>
      <c r="GQ20" s="44"/>
      <c r="GR20" s="44"/>
      <c r="GS20" s="44"/>
      <c r="GT20" s="44"/>
      <c r="GU20" s="44"/>
      <c r="GV20" s="44"/>
      <c r="GW20" s="44"/>
      <c r="GX20" s="44"/>
      <c r="GY20" s="44"/>
      <c r="GZ20" s="44"/>
      <c r="HA20" s="44"/>
      <c r="HB20" s="44"/>
      <c r="HC20" s="44"/>
      <c r="HD20" s="44"/>
      <c r="HE20" s="44"/>
      <c r="HF20" s="44"/>
      <c r="HG20" s="44"/>
      <c r="HH20" s="44"/>
      <c r="HI20" s="44"/>
      <c r="HJ20" s="44"/>
      <c r="HK20" s="44"/>
      <c r="HL20" s="44"/>
      <c r="HM20" s="44"/>
      <c r="HN20" s="44"/>
      <c r="HO20" s="44"/>
      <c r="HP20" s="44"/>
      <c r="HQ20" s="44"/>
    </row>
    <row r="21" spans="1:225" s="3" customFormat="1" ht="30" customHeight="1" thickBot="1" x14ac:dyDescent="0.3">
      <c r="A21" s="59"/>
      <c r="B21" s="80" t="s">
        <v>54</v>
      </c>
      <c r="C21" s="73"/>
      <c r="D21" s="27">
        <v>0</v>
      </c>
      <c r="E21" s="66">
        <v>44315</v>
      </c>
      <c r="F21" s="66">
        <f>E21+28</f>
        <v>44343</v>
      </c>
      <c r="G21" s="17"/>
      <c r="H21" s="17">
        <f t="shared" si="202"/>
        <v>29</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4"/>
      <c r="DX21" s="44"/>
      <c r="DY21" s="44"/>
      <c r="DZ21" s="44"/>
      <c r="EA21" s="44"/>
      <c r="EB21" s="44"/>
      <c r="EC21" s="44"/>
      <c r="ED21" s="44"/>
      <c r="EE21" s="44"/>
      <c r="EF21" s="44"/>
      <c r="EG21" s="44"/>
      <c r="EH21" s="44"/>
      <c r="EI21" s="44"/>
      <c r="EJ21" s="44"/>
      <c r="EK21" s="44"/>
      <c r="EL21" s="44"/>
      <c r="EM21" s="44"/>
      <c r="EN21" s="44"/>
      <c r="EO21" s="44"/>
      <c r="EP21" s="44"/>
      <c r="EQ21" s="44"/>
      <c r="ER21" s="44"/>
      <c r="ES21" s="44"/>
      <c r="ET21" s="44"/>
      <c r="EU21" s="44"/>
      <c r="EV21" s="44"/>
      <c r="EW21" s="44"/>
      <c r="EX21" s="44"/>
      <c r="EY21" s="44"/>
      <c r="EZ21" s="44"/>
      <c r="FA21" s="44"/>
      <c r="FB21" s="44"/>
      <c r="FC21" s="44"/>
      <c r="FD21" s="44"/>
      <c r="FE21" s="44"/>
      <c r="FF21" s="44"/>
      <c r="FG21" s="44"/>
      <c r="FH21" s="44"/>
      <c r="FI21" s="44"/>
      <c r="FJ21" s="44"/>
      <c r="FK21" s="44"/>
      <c r="FL21" s="44"/>
      <c r="FM21" s="44"/>
      <c r="FN21" s="44"/>
      <c r="FO21" s="44"/>
      <c r="FP21" s="44"/>
      <c r="FQ21" s="44"/>
      <c r="FR21" s="44"/>
      <c r="FS21" s="44"/>
      <c r="FT21" s="44"/>
      <c r="FU21" s="44"/>
      <c r="FV21" s="44"/>
      <c r="FW21" s="44"/>
      <c r="FX21" s="44"/>
      <c r="FY21" s="44"/>
      <c r="FZ21" s="44"/>
      <c r="GA21" s="44"/>
      <c r="GB21" s="44"/>
      <c r="GC21" s="44"/>
      <c r="GD21" s="44"/>
      <c r="GE21" s="44"/>
      <c r="GF21" s="44"/>
      <c r="GG21" s="44"/>
      <c r="GH21" s="44"/>
      <c r="GI21" s="44"/>
      <c r="GJ21" s="44"/>
      <c r="GK21" s="44"/>
      <c r="GL21" s="44"/>
      <c r="GM21" s="44"/>
      <c r="GN21" s="44"/>
      <c r="GO21" s="44"/>
      <c r="GP21" s="44"/>
      <c r="GQ21" s="44"/>
      <c r="GR21" s="44"/>
      <c r="GS21" s="44"/>
      <c r="GT21" s="44"/>
      <c r="GU21" s="44"/>
      <c r="GV21" s="44"/>
      <c r="GW21" s="44"/>
      <c r="GX21" s="44"/>
      <c r="GY21" s="44"/>
      <c r="GZ21" s="44"/>
      <c r="HA21" s="44"/>
      <c r="HB21" s="44"/>
      <c r="HC21" s="44"/>
      <c r="HD21" s="44"/>
      <c r="HE21" s="44"/>
      <c r="HF21" s="44"/>
      <c r="HG21" s="44"/>
      <c r="HH21" s="44"/>
      <c r="HI21" s="44"/>
      <c r="HJ21" s="44"/>
      <c r="HK21" s="44"/>
      <c r="HL21" s="44"/>
      <c r="HM21" s="44"/>
      <c r="HN21" s="44"/>
      <c r="HO21" s="44"/>
      <c r="HP21" s="44"/>
      <c r="HQ21" s="44"/>
    </row>
    <row r="22" spans="1:225" s="3" customFormat="1" ht="30" customHeight="1" thickBot="1" x14ac:dyDescent="0.3">
      <c r="A22" s="58"/>
      <c r="B22" s="80" t="s">
        <v>55</v>
      </c>
      <c r="C22" s="73"/>
      <c r="D22" s="27">
        <v>0</v>
      </c>
      <c r="E22" s="66">
        <f>E21+7</f>
        <v>44322</v>
      </c>
      <c r="F22" s="66">
        <f>E22+35</f>
        <v>44357</v>
      </c>
      <c r="G22" s="17"/>
      <c r="H22" s="17">
        <f t="shared" si="202"/>
        <v>36</v>
      </c>
      <c r="I22" s="44"/>
      <c r="J22" s="44"/>
      <c r="K22" s="44"/>
      <c r="L22" s="44"/>
      <c r="M22" s="44"/>
      <c r="N22" s="44"/>
      <c r="O22" s="44"/>
      <c r="P22" s="44"/>
      <c r="Q22" s="44"/>
      <c r="R22" s="44"/>
      <c r="S22" s="44"/>
      <c r="T22" s="44"/>
      <c r="U22" s="45"/>
      <c r="V22" s="45"/>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44"/>
      <c r="DY22" s="44"/>
      <c r="DZ22" s="44"/>
      <c r="EA22" s="44"/>
      <c r="EB22" s="44"/>
      <c r="EC22" s="44"/>
      <c r="ED22" s="44"/>
      <c r="EE22" s="44"/>
      <c r="EF22" s="44"/>
      <c r="EG22" s="44"/>
      <c r="EH22" s="44"/>
      <c r="EI22" s="44"/>
      <c r="EJ22" s="44"/>
      <c r="EK22" s="44"/>
      <c r="EL22" s="44"/>
      <c r="EM22" s="44"/>
      <c r="EN22" s="44"/>
      <c r="EO22" s="44"/>
      <c r="EP22" s="44"/>
      <c r="EQ22" s="44"/>
      <c r="ER22" s="44"/>
      <c r="ES22" s="44"/>
      <c r="ET22" s="44"/>
      <c r="EU22" s="44"/>
      <c r="EV22" s="44"/>
      <c r="EW22" s="44"/>
      <c r="EX22" s="44"/>
      <c r="EY22" s="44"/>
      <c r="EZ22" s="44"/>
      <c r="FA22" s="44"/>
      <c r="FB22" s="44"/>
      <c r="FC22" s="44"/>
      <c r="FD22" s="44"/>
      <c r="FE22" s="44"/>
      <c r="FF22" s="44"/>
      <c r="FG22" s="44"/>
      <c r="FH22" s="44"/>
      <c r="FI22" s="44"/>
      <c r="FJ22" s="44"/>
      <c r="FK22" s="44"/>
      <c r="FL22" s="44"/>
      <c r="FM22" s="44"/>
      <c r="FN22" s="44"/>
      <c r="FO22" s="44"/>
      <c r="FP22" s="44"/>
      <c r="FQ22" s="44"/>
      <c r="FR22" s="44"/>
      <c r="FS22" s="44"/>
      <c r="FT22" s="44"/>
      <c r="FU22" s="44"/>
      <c r="FV22" s="44"/>
      <c r="FW22" s="44"/>
      <c r="FX22" s="44"/>
      <c r="FY22" s="44"/>
      <c r="FZ22" s="44"/>
      <c r="GA22" s="44"/>
      <c r="GB22" s="44"/>
      <c r="GC22" s="44"/>
      <c r="GD22" s="44"/>
      <c r="GE22" s="44"/>
      <c r="GF22" s="44"/>
      <c r="GG22" s="44"/>
      <c r="GH22" s="44"/>
      <c r="GI22" s="44"/>
      <c r="GJ22" s="44"/>
      <c r="GK22" s="44"/>
      <c r="GL22" s="44"/>
      <c r="GM22" s="44"/>
      <c r="GN22" s="44"/>
      <c r="GO22" s="44"/>
      <c r="GP22" s="44"/>
      <c r="GQ22" s="44"/>
      <c r="GR22" s="44"/>
      <c r="GS22" s="44"/>
      <c r="GT22" s="44"/>
      <c r="GU22" s="44"/>
      <c r="GV22" s="44"/>
      <c r="GW22" s="44"/>
      <c r="GX22" s="44"/>
      <c r="GY22" s="44"/>
      <c r="GZ22" s="44"/>
      <c r="HA22" s="44"/>
      <c r="HB22" s="44"/>
      <c r="HC22" s="44"/>
      <c r="HD22" s="44"/>
      <c r="HE22" s="44"/>
      <c r="HF22" s="44"/>
      <c r="HG22" s="44"/>
      <c r="HH22" s="44"/>
      <c r="HI22" s="44"/>
      <c r="HJ22" s="44"/>
      <c r="HK22" s="44"/>
      <c r="HL22" s="44"/>
      <c r="HM22" s="44"/>
      <c r="HN22" s="44"/>
      <c r="HO22" s="44"/>
      <c r="HP22" s="44"/>
      <c r="HQ22" s="44"/>
    </row>
    <row r="23" spans="1:225" s="3" customFormat="1" ht="30" customHeight="1" thickBot="1" x14ac:dyDescent="0.3">
      <c r="A23" s="58"/>
      <c r="B23" s="80" t="s">
        <v>72</v>
      </c>
      <c r="C23" s="73"/>
      <c r="D23" s="27">
        <v>0</v>
      </c>
      <c r="E23" s="66">
        <f>E22+7</f>
        <v>44329</v>
      </c>
      <c r="F23" s="66">
        <f>E23+7*2</f>
        <v>44343</v>
      </c>
      <c r="G23" s="17"/>
      <c r="H23" s="17">
        <f t="shared" si="202"/>
        <v>15</v>
      </c>
      <c r="I23" s="44"/>
      <c r="J23" s="44"/>
      <c r="K23" s="44"/>
      <c r="L23" s="44"/>
      <c r="M23" s="44"/>
      <c r="N23" s="44"/>
      <c r="O23" s="44"/>
      <c r="P23" s="44"/>
      <c r="Q23" s="44"/>
      <c r="R23" s="44"/>
      <c r="S23" s="44"/>
      <c r="T23" s="44"/>
      <c r="U23" s="44"/>
      <c r="V23" s="44"/>
      <c r="W23" s="44"/>
      <c r="X23" s="44"/>
      <c r="Y23" s="45"/>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c r="CV23" s="44"/>
      <c r="CW23" s="44"/>
      <c r="CX23" s="44"/>
      <c r="CY23" s="44"/>
      <c r="CZ23" s="44"/>
      <c r="DA23" s="44"/>
      <c r="DB23" s="44"/>
      <c r="DC23" s="44"/>
      <c r="DD23" s="44"/>
      <c r="DE23" s="44"/>
      <c r="DF23" s="44"/>
      <c r="DG23" s="44"/>
      <c r="DH23" s="44"/>
      <c r="DI23" s="44"/>
      <c r="DJ23" s="44"/>
      <c r="DK23" s="44"/>
      <c r="DL23" s="44"/>
      <c r="DM23" s="44"/>
      <c r="DN23" s="44"/>
      <c r="DO23" s="44"/>
      <c r="DP23" s="44"/>
      <c r="DQ23" s="44"/>
      <c r="DR23" s="44"/>
      <c r="DS23" s="44"/>
      <c r="DT23" s="44"/>
      <c r="DU23" s="44"/>
      <c r="DV23" s="44"/>
      <c r="DW23" s="44"/>
      <c r="DX23" s="44"/>
      <c r="DY23" s="44"/>
      <c r="DZ23" s="44"/>
      <c r="EA23" s="44"/>
      <c r="EB23" s="44"/>
      <c r="EC23" s="44"/>
      <c r="ED23" s="44"/>
      <c r="EE23" s="44"/>
      <c r="EF23" s="44"/>
      <c r="EG23" s="44"/>
      <c r="EH23" s="44"/>
      <c r="EI23" s="44"/>
      <c r="EJ23" s="44"/>
      <c r="EK23" s="44"/>
      <c r="EL23" s="44"/>
      <c r="EM23" s="44"/>
      <c r="EN23" s="44"/>
      <c r="EO23" s="44"/>
      <c r="EP23" s="44"/>
      <c r="EQ23" s="44"/>
      <c r="ER23" s="44"/>
      <c r="ES23" s="44"/>
      <c r="ET23" s="44"/>
      <c r="EU23" s="44"/>
      <c r="EV23" s="44"/>
      <c r="EW23" s="44"/>
      <c r="EX23" s="44"/>
      <c r="EY23" s="44"/>
      <c r="EZ23" s="44"/>
      <c r="FA23" s="44"/>
      <c r="FB23" s="44"/>
      <c r="FC23" s="44"/>
      <c r="FD23" s="44"/>
      <c r="FE23" s="44"/>
      <c r="FF23" s="44"/>
      <c r="FG23" s="44"/>
      <c r="FH23" s="44"/>
      <c r="FI23" s="44"/>
      <c r="FJ23" s="44"/>
      <c r="FK23" s="44"/>
      <c r="FL23" s="44"/>
      <c r="FM23" s="44"/>
      <c r="FN23" s="44"/>
      <c r="FO23" s="44"/>
      <c r="FP23" s="44"/>
      <c r="FQ23" s="44"/>
      <c r="FR23" s="44"/>
      <c r="FS23" s="44"/>
      <c r="FT23" s="44"/>
      <c r="FU23" s="44"/>
      <c r="FV23" s="44"/>
      <c r="FW23" s="44"/>
      <c r="FX23" s="44"/>
      <c r="FY23" s="44"/>
      <c r="FZ23" s="44"/>
      <c r="GA23" s="44"/>
      <c r="GB23" s="44"/>
      <c r="GC23" s="44"/>
      <c r="GD23" s="44"/>
      <c r="GE23" s="44"/>
      <c r="GF23" s="44"/>
      <c r="GG23" s="44"/>
      <c r="GH23" s="44"/>
      <c r="GI23" s="44"/>
      <c r="GJ23" s="44"/>
      <c r="GK23" s="44"/>
      <c r="GL23" s="44"/>
      <c r="GM23" s="44"/>
      <c r="GN23" s="44"/>
      <c r="GO23" s="44"/>
      <c r="GP23" s="44"/>
      <c r="GQ23" s="44"/>
      <c r="GR23" s="44"/>
      <c r="GS23" s="44"/>
      <c r="GT23" s="44"/>
      <c r="GU23" s="44"/>
      <c r="GV23" s="44"/>
      <c r="GW23" s="44"/>
      <c r="GX23" s="44"/>
      <c r="GY23" s="44"/>
      <c r="GZ23" s="44"/>
      <c r="HA23" s="44"/>
      <c r="HB23" s="44"/>
      <c r="HC23" s="44"/>
      <c r="HD23" s="44"/>
      <c r="HE23" s="44"/>
      <c r="HF23" s="44"/>
      <c r="HG23" s="44"/>
      <c r="HH23" s="44"/>
      <c r="HI23" s="44"/>
      <c r="HJ23" s="44"/>
      <c r="HK23" s="44"/>
      <c r="HL23" s="44"/>
      <c r="HM23" s="44"/>
      <c r="HN23" s="44"/>
      <c r="HO23" s="44"/>
      <c r="HP23" s="44"/>
      <c r="HQ23" s="44"/>
    </row>
    <row r="24" spans="1:225" s="3" customFormat="1" ht="30" hidden="1" customHeight="1" thickBot="1" x14ac:dyDescent="0.3">
      <c r="A24" s="58"/>
      <c r="B24" s="80" t="s">
        <v>1</v>
      </c>
      <c r="C24" s="73"/>
      <c r="D24" s="27"/>
      <c r="E24" s="66">
        <f>E23</f>
        <v>44329</v>
      </c>
      <c r="F24" s="66">
        <f>E24+3</f>
        <v>44332</v>
      </c>
      <c r="G24" s="17"/>
      <c r="H24" s="17">
        <f t="shared" si="202"/>
        <v>4</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c r="CV24" s="44"/>
      <c r="CW24" s="44"/>
      <c r="CX24" s="44"/>
      <c r="CY24" s="44"/>
      <c r="CZ24" s="44"/>
      <c r="DA24" s="44"/>
      <c r="DB24" s="44"/>
      <c r="DC24" s="44"/>
      <c r="DD24" s="44"/>
      <c r="DE24" s="44"/>
      <c r="DF24" s="44"/>
      <c r="DG24" s="44"/>
      <c r="DH24" s="44"/>
      <c r="DI24" s="44"/>
      <c r="DJ24" s="44"/>
      <c r="DK24" s="44"/>
      <c r="DL24" s="44"/>
      <c r="DM24" s="44"/>
      <c r="DN24" s="44"/>
      <c r="DO24" s="44"/>
      <c r="DP24" s="44"/>
      <c r="DQ24" s="44"/>
      <c r="DR24" s="44"/>
      <c r="DS24" s="44"/>
      <c r="DT24" s="44"/>
      <c r="DU24" s="44"/>
      <c r="DV24" s="44"/>
      <c r="DW24" s="44"/>
      <c r="DX24" s="44"/>
      <c r="DY24" s="44"/>
      <c r="DZ24" s="44"/>
      <c r="EA24" s="44"/>
      <c r="EB24" s="44"/>
      <c r="EC24" s="44"/>
      <c r="ED24" s="44"/>
      <c r="EE24" s="44"/>
      <c r="EF24" s="44"/>
      <c r="EG24" s="44"/>
      <c r="EH24" s="44"/>
      <c r="EI24" s="44"/>
      <c r="EJ24" s="44"/>
      <c r="EK24" s="44"/>
      <c r="EL24" s="44"/>
      <c r="EM24" s="44"/>
      <c r="EN24" s="44"/>
      <c r="EO24" s="44"/>
      <c r="EP24" s="44"/>
      <c r="EQ24" s="44"/>
      <c r="ER24" s="44"/>
      <c r="ES24" s="44"/>
      <c r="ET24" s="44"/>
      <c r="EU24" s="44"/>
      <c r="EV24" s="44"/>
      <c r="EW24" s="44"/>
      <c r="EX24" s="44"/>
      <c r="EY24" s="44"/>
      <c r="EZ24" s="44"/>
      <c r="FA24" s="44"/>
      <c r="FB24" s="44"/>
      <c r="FC24" s="44"/>
      <c r="FD24" s="44"/>
      <c r="FE24" s="44"/>
      <c r="FF24" s="44"/>
      <c r="FG24" s="44"/>
      <c r="FH24" s="44"/>
      <c r="FI24" s="44"/>
      <c r="FJ24" s="44"/>
      <c r="FK24" s="44"/>
      <c r="FL24" s="44"/>
      <c r="FM24" s="44"/>
      <c r="FN24" s="44"/>
      <c r="FO24" s="44"/>
      <c r="FP24" s="44"/>
      <c r="FQ24" s="44"/>
      <c r="FR24" s="44"/>
      <c r="FS24" s="44"/>
      <c r="FT24" s="44"/>
      <c r="FU24" s="44"/>
      <c r="FV24" s="44"/>
      <c r="FW24" s="44"/>
      <c r="FX24" s="44"/>
      <c r="FY24" s="44"/>
      <c r="FZ24" s="44"/>
      <c r="GA24" s="44"/>
      <c r="GB24" s="44"/>
      <c r="GC24" s="44"/>
      <c r="GD24" s="44"/>
      <c r="GE24" s="44"/>
      <c r="GF24" s="44"/>
      <c r="GG24" s="44"/>
      <c r="GH24" s="44"/>
      <c r="GI24" s="44"/>
      <c r="GJ24" s="44"/>
      <c r="GK24" s="44"/>
      <c r="GL24" s="44"/>
      <c r="GM24" s="44"/>
      <c r="GN24" s="44"/>
      <c r="GO24" s="44"/>
      <c r="GP24" s="44"/>
      <c r="GQ24" s="44"/>
      <c r="GR24" s="44"/>
      <c r="GS24" s="44"/>
      <c r="GT24" s="44"/>
      <c r="GU24" s="44"/>
      <c r="GV24" s="44"/>
      <c r="GW24" s="44"/>
      <c r="GX24" s="44"/>
      <c r="GY24" s="44"/>
      <c r="GZ24" s="44"/>
      <c r="HA24" s="44"/>
      <c r="HB24" s="44"/>
      <c r="HC24" s="44"/>
      <c r="HD24" s="44"/>
      <c r="HE24" s="44"/>
      <c r="HF24" s="44"/>
      <c r="HG24" s="44"/>
      <c r="HH24" s="44"/>
      <c r="HI24" s="44"/>
      <c r="HJ24" s="44"/>
      <c r="HK24" s="44"/>
      <c r="HL24" s="44"/>
      <c r="HM24" s="44"/>
      <c r="HN24" s="44"/>
      <c r="HO24" s="44"/>
      <c r="HP24" s="44"/>
      <c r="HQ24" s="44"/>
    </row>
    <row r="25" spans="1:225" s="3" customFormat="1" ht="30" customHeight="1" thickBot="1" x14ac:dyDescent="0.3">
      <c r="A25" s="58" t="s">
        <v>28</v>
      </c>
      <c r="B25" s="28" t="s">
        <v>52</v>
      </c>
      <c r="C25" s="74"/>
      <c r="D25" s="29"/>
      <c r="E25" s="30"/>
      <c r="F25" s="31"/>
      <c r="G25" s="17"/>
      <c r="H25" s="17" t="str">
        <f t="shared" si="202"/>
        <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44"/>
      <c r="DJ25" s="44"/>
      <c r="DK25" s="44"/>
      <c r="DL25" s="44"/>
      <c r="DM25" s="44"/>
      <c r="DN25" s="44"/>
      <c r="DO25" s="44"/>
      <c r="DP25" s="44"/>
      <c r="DQ25" s="44"/>
      <c r="DR25" s="44"/>
      <c r="DS25" s="44"/>
      <c r="DT25" s="44"/>
      <c r="DU25" s="44"/>
      <c r="DV25" s="44"/>
      <c r="DW25" s="44"/>
      <c r="DX25" s="44"/>
      <c r="DY25" s="44"/>
      <c r="DZ25" s="44"/>
      <c r="EA25" s="44"/>
      <c r="EB25" s="44"/>
      <c r="EC25" s="44"/>
      <c r="ED25" s="44"/>
      <c r="EE25" s="44"/>
      <c r="EF25" s="44"/>
      <c r="EG25" s="44"/>
      <c r="EH25" s="44"/>
      <c r="EI25" s="44"/>
      <c r="EJ25" s="44"/>
      <c r="EK25" s="44"/>
      <c r="EL25" s="44"/>
      <c r="EM25" s="44"/>
      <c r="EN25" s="44"/>
      <c r="EO25" s="44"/>
      <c r="EP25" s="44"/>
      <c r="EQ25" s="44"/>
      <c r="ER25" s="44"/>
      <c r="ES25" s="44"/>
      <c r="ET25" s="44"/>
      <c r="EU25" s="44"/>
      <c r="EV25" s="44"/>
      <c r="EW25" s="44"/>
      <c r="EX25" s="44"/>
      <c r="EY25" s="44"/>
      <c r="EZ25" s="44"/>
      <c r="FA25" s="44"/>
      <c r="FB25" s="44"/>
      <c r="FC25" s="44"/>
      <c r="FD25" s="44"/>
      <c r="FE25" s="44"/>
      <c r="FF25" s="44"/>
      <c r="FG25" s="44"/>
      <c r="FH25" s="44"/>
      <c r="FI25" s="44"/>
      <c r="FJ25" s="44"/>
      <c r="FK25" s="44"/>
      <c r="FL25" s="44"/>
      <c r="FM25" s="44"/>
      <c r="FN25" s="44"/>
      <c r="FO25" s="44"/>
      <c r="FP25" s="44"/>
      <c r="FQ25" s="44"/>
      <c r="FR25" s="44"/>
      <c r="FS25" s="44"/>
      <c r="FT25" s="44"/>
      <c r="FU25" s="44"/>
      <c r="FV25" s="44"/>
      <c r="FW25" s="44"/>
      <c r="FX25" s="44"/>
      <c r="FY25" s="44"/>
      <c r="FZ25" s="44"/>
      <c r="GA25" s="44"/>
      <c r="GB25" s="44"/>
      <c r="GC25" s="44"/>
      <c r="GD25" s="44"/>
      <c r="GE25" s="44"/>
      <c r="GF25" s="44"/>
      <c r="GG25" s="44"/>
      <c r="GH25" s="44"/>
      <c r="GI25" s="44"/>
      <c r="GJ25" s="44"/>
      <c r="GK25" s="44"/>
      <c r="GL25" s="44"/>
      <c r="GM25" s="44"/>
      <c r="GN25" s="44"/>
      <c r="GO25" s="44"/>
      <c r="GP25" s="44"/>
      <c r="GQ25" s="44"/>
      <c r="GR25" s="44"/>
      <c r="GS25" s="44"/>
      <c r="GT25" s="44"/>
      <c r="GU25" s="44"/>
      <c r="GV25" s="44"/>
      <c r="GW25" s="44"/>
      <c r="GX25" s="44"/>
      <c r="GY25" s="44"/>
      <c r="GZ25" s="44"/>
      <c r="HA25" s="44"/>
      <c r="HB25" s="44"/>
      <c r="HC25" s="44"/>
      <c r="HD25" s="44"/>
      <c r="HE25" s="44"/>
      <c r="HF25" s="44"/>
      <c r="HG25" s="44"/>
      <c r="HH25" s="44"/>
      <c r="HI25" s="44"/>
      <c r="HJ25" s="44"/>
      <c r="HK25" s="44"/>
      <c r="HL25" s="44"/>
      <c r="HM25" s="44"/>
      <c r="HN25" s="44"/>
      <c r="HO25" s="44"/>
      <c r="HP25" s="44"/>
      <c r="HQ25" s="44"/>
    </row>
    <row r="26" spans="1:225" s="3" customFormat="1" ht="30" customHeight="1" thickBot="1" x14ac:dyDescent="0.3">
      <c r="A26" s="58"/>
      <c r="B26" s="81" t="s">
        <v>58</v>
      </c>
      <c r="C26" s="75"/>
      <c r="D26" s="32">
        <v>0</v>
      </c>
      <c r="E26" s="67">
        <f>F21-7</f>
        <v>44336</v>
      </c>
      <c r="F26" s="67">
        <f>E26+7*4</f>
        <v>44364</v>
      </c>
      <c r="G26" s="17"/>
      <c r="H26" s="17">
        <f t="shared" si="202"/>
        <v>29</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c r="CV26" s="44"/>
      <c r="CW26" s="44"/>
      <c r="CX26" s="44"/>
      <c r="CY26" s="44"/>
      <c r="CZ26" s="44"/>
      <c r="DA26" s="44"/>
      <c r="DB26" s="44"/>
      <c r="DC26" s="44"/>
      <c r="DD26" s="44"/>
      <c r="DE26" s="44"/>
      <c r="DF26" s="44"/>
      <c r="DG26" s="44"/>
      <c r="DH26" s="44"/>
      <c r="DI26" s="44"/>
      <c r="DJ26" s="44"/>
      <c r="DK26" s="44"/>
      <c r="DL26" s="44"/>
      <c r="DM26" s="44"/>
      <c r="DN26" s="44"/>
      <c r="DO26" s="44"/>
      <c r="DP26" s="44"/>
      <c r="DQ26" s="44"/>
      <c r="DR26" s="44"/>
      <c r="DS26" s="44"/>
      <c r="DT26" s="44"/>
      <c r="DU26" s="44"/>
      <c r="DV26" s="44"/>
      <c r="DW26" s="44"/>
      <c r="DX26" s="44"/>
      <c r="DY26" s="44"/>
      <c r="DZ26" s="44"/>
      <c r="EA26" s="44"/>
      <c r="EB26" s="44"/>
      <c r="EC26" s="44"/>
      <c r="ED26" s="44"/>
      <c r="EE26" s="44"/>
      <c r="EF26" s="44"/>
      <c r="EG26" s="44"/>
      <c r="EH26" s="44"/>
      <c r="EI26" s="44"/>
      <c r="EJ26" s="44"/>
      <c r="EK26" s="44"/>
      <c r="EL26" s="44"/>
      <c r="EM26" s="44"/>
      <c r="EN26" s="44"/>
      <c r="EO26" s="44"/>
      <c r="EP26" s="44"/>
      <c r="EQ26" s="44"/>
      <c r="ER26" s="44"/>
      <c r="ES26" s="44"/>
      <c r="ET26" s="44"/>
      <c r="EU26" s="44"/>
      <c r="EV26" s="44"/>
      <c r="EW26" s="44"/>
      <c r="EX26" s="44"/>
      <c r="EY26" s="44"/>
      <c r="EZ26" s="44"/>
      <c r="FA26" s="44"/>
      <c r="FB26" s="44"/>
      <c r="FC26" s="44"/>
      <c r="FD26" s="44"/>
      <c r="FE26" s="44"/>
      <c r="FF26" s="44"/>
      <c r="FG26" s="44"/>
      <c r="FH26" s="44"/>
      <c r="FI26" s="44"/>
      <c r="FJ26" s="44"/>
      <c r="FK26" s="44"/>
      <c r="FL26" s="44"/>
      <c r="FM26" s="44"/>
      <c r="FN26" s="44"/>
      <c r="FO26" s="44"/>
      <c r="FP26" s="44"/>
      <c r="FQ26" s="44"/>
      <c r="FR26" s="44"/>
      <c r="FS26" s="44"/>
      <c r="FT26" s="44"/>
      <c r="FU26" s="44"/>
      <c r="FV26" s="44"/>
      <c r="FW26" s="44"/>
      <c r="FX26" s="44"/>
      <c r="FY26" s="44"/>
      <c r="FZ26" s="44"/>
      <c r="GA26" s="44"/>
      <c r="GB26" s="44"/>
      <c r="GC26" s="44"/>
      <c r="GD26" s="44"/>
      <c r="GE26" s="44"/>
      <c r="GF26" s="44"/>
      <c r="GG26" s="44"/>
      <c r="GH26" s="44"/>
      <c r="GI26" s="44"/>
      <c r="GJ26" s="44"/>
      <c r="GK26" s="44"/>
      <c r="GL26" s="44"/>
      <c r="GM26" s="44"/>
      <c r="GN26" s="44"/>
      <c r="GO26" s="44"/>
      <c r="GP26" s="44"/>
      <c r="GQ26" s="44"/>
      <c r="GR26" s="44"/>
      <c r="GS26" s="44"/>
      <c r="GT26" s="44"/>
      <c r="GU26" s="44"/>
      <c r="GV26" s="44"/>
      <c r="GW26" s="44"/>
      <c r="GX26" s="44"/>
      <c r="GY26" s="44"/>
      <c r="GZ26" s="44"/>
      <c r="HA26" s="44"/>
      <c r="HB26" s="44"/>
      <c r="HC26" s="44"/>
      <c r="HD26" s="44"/>
      <c r="HE26" s="44"/>
      <c r="HF26" s="44"/>
      <c r="HG26" s="44"/>
      <c r="HH26" s="44"/>
      <c r="HI26" s="44"/>
      <c r="HJ26" s="44"/>
      <c r="HK26" s="44"/>
      <c r="HL26" s="44"/>
      <c r="HM26" s="44"/>
      <c r="HN26" s="44"/>
      <c r="HO26" s="44"/>
      <c r="HP26" s="44"/>
      <c r="HQ26" s="44"/>
    </row>
    <row r="27" spans="1:225" s="3" customFormat="1" ht="30" customHeight="1" thickBot="1" x14ac:dyDescent="0.3">
      <c r="A27" s="58"/>
      <c r="B27" s="81" t="s">
        <v>60</v>
      </c>
      <c r="C27" s="75"/>
      <c r="D27" s="32">
        <v>0</v>
      </c>
      <c r="E27" s="67">
        <f>E28-1</f>
        <v>44357</v>
      </c>
      <c r="F27" s="67">
        <f>E27+22</f>
        <v>44379</v>
      </c>
      <c r="G27" s="17"/>
      <c r="H27" s="17">
        <f t="shared" si="202"/>
        <v>23</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c r="EJ27" s="44"/>
      <c r="EK27" s="44"/>
      <c r="EL27" s="44"/>
      <c r="EM27" s="44"/>
      <c r="EN27" s="44"/>
      <c r="EO27" s="44"/>
      <c r="EP27" s="44"/>
      <c r="EQ27" s="44"/>
      <c r="ER27" s="44"/>
      <c r="ES27" s="44"/>
      <c r="ET27" s="44"/>
      <c r="EU27" s="44"/>
      <c r="EV27" s="44"/>
      <c r="EW27" s="44"/>
      <c r="EX27" s="44"/>
      <c r="EY27" s="44"/>
      <c r="EZ27" s="44"/>
      <c r="FA27" s="44"/>
      <c r="FB27" s="44"/>
      <c r="FC27" s="44"/>
      <c r="FD27" s="44"/>
      <c r="FE27" s="44"/>
      <c r="FF27" s="44"/>
      <c r="FG27" s="44"/>
      <c r="FH27" s="44"/>
      <c r="FI27" s="44"/>
      <c r="FJ27" s="44"/>
      <c r="FK27" s="44"/>
      <c r="FL27" s="44"/>
      <c r="FM27" s="44"/>
      <c r="FN27" s="44"/>
      <c r="FO27" s="44"/>
      <c r="FP27" s="44"/>
      <c r="FQ27" s="44"/>
      <c r="FR27" s="44"/>
      <c r="FS27" s="44"/>
      <c r="FT27" s="44"/>
      <c r="FU27" s="44"/>
      <c r="FV27" s="44"/>
      <c r="FW27" s="44"/>
      <c r="FX27" s="44"/>
      <c r="FY27" s="44"/>
      <c r="FZ27" s="44"/>
      <c r="GA27" s="44"/>
      <c r="GB27" s="44"/>
      <c r="GC27" s="44"/>
      <c r="GD27" s="44"/>
      <c r="GE27" s="44"/>
      <c r="GF27" s="44"/>
      <c r="GG27" s="44"/>
      <c r="GH27" s="44"/>
      <c r="GI27" s="44"/>
      <c r="GJ27" s="44"/>
      <c r="GK27" s="44"/>
      <c r="GL27" s="44"/>
      <c r="GM27" s="44"/>
      <c r="GN27" s="44"/>
      <c r="GO27" s="44"/>
      <c r="GP27" s="44"/>
      <c r="GQ27" s="44"/>
      <c r="GR27" s="44"/>
      <c r="GS27" s="44"/>
      <c r="GT27" s="44"/>
      <c r="GU27" s="44"/>
      <c r="GV27" s="44"/>
      <c r="GW27" s="44"/>
      <c r="GX27" s="44"/>
      <c r="GY27" s="44"/>
      <c r="GZ27" s="44"/>
      <c r="HA27" s="44"/>
      <c r="HB27" s="44"/>
      <c r="HC27" s="44"/>
      <c r="HD27" s="44"/>
      <c r="HE27" s="44"/>
      <c r="HF27" s="44"/>
      <c r="HG27" s="44"/>
      <c r="HH27" s="44"/>
      <c r="HI27" s="44"/>
      <c r="HJ27" s="44"/>
      <c r="HK27" s="44"/>
      <c r="HL27" s="44"/>
      <c r="HM27" s="44"/>
      <c r="HN27" s="44"/>
      <c r="HO27" s="44"/>
      <c r="HP27" s="44"/>
      <c r="HQ27" s="44"/>
    </row>
    <row r="28" spans="1:225" s="3" customFormat="1" ht="30" customHeight="1" thickBot="1" x14ac:dyDescent="0.3">
      <c r="A28" s="58"/>
      <c r="B28" s="81" t="s">
        <v>62</v>
      </c>
      <c r="C28" s="75"/>
      <c r="D28" s="32">
        <v>0</v>
      </c>
      <c r="E28" s="67">
        <f>F22+1</f>
        <v>44358</v>
      </c>
      <c r="F28" s="67">
        <f>E28+21</f>
        <v>44379</v>
      </c>
      <c r="G28" s="17"/>
      <c r="H28" s="17">
        <f t="shared" si="202"/>
        <v>22</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44"/>
      <c r="EJ28" s="44"/>
      <c r="EK28" s="44"/>
      <c r="EL28" s="44"/>
      <c r="EM28" s="44"/>
      <c r="EN28" s="44"/>
      <c r="EO28" s="44"/>
      <c r="EP28" s="44"/>
      <c r="EQ28" s="44"/>
      <c r="ER28" s="44"/>
      <c r="ES28" s="44"/>
      <c r="ET28" s="44"/>
      <c r="EU28" s="44"/>
      <c r="EV28" s="44"/>
      <c r="EW28" s="44"/>
      <c r="EX28" s="44"/>
      <c r="EY28" s="44"/>
      <c r="EZ28" s="44"/>
      <c r="FA28" s="44"/>
      <c r="FB28" s="44"/>
      <c r="FC28" s="44"/>
      <c r="FD28" s="44"/>
      <c r="FE28" s="44"/>
      <c r="FF28" s="44"/>
      <c r="FG28" s="44"/>
      <c r="FH28" s="44"/>
      <c r="FI28" s="44"/>
      <c r="FJ28" s="44"/>
      <c r="FK28" s="44"/>
      <c r="FL28" s="44"/>
      <c r="FM28" s="44"/>
      <c r="FN28" s="44"/>
      <c r="FO28" s="44"/>
      <c r="FP28" s="44"/>
      <c r="FQ28" s="44"/>
      <c r="FR28" s="44"/>
      <c r="FS28" s="44"/>
      <c r="FT28" s="44"/>
      <c r="FU28" s="44"/>
      <c r="FV28" s="44"/>
      <c r="FW28" s="44"/>
      <c r="FX28" s="44"/>
      <c r="FY28" s="44"/>
      <c r="FZ28" s="44"/>
      <c r="GA28" s="44"/>
      <c r="GB28" s="44"/>
      <c r="GC28" s="44"/>
      <c r="GD28" s="44"/>
      <c r="GE28" s="44"/>
      <c r="GF28" s="44"/>
      <c r="GG28" s="44"/>
      <c r="GH28" s="44"/>
      <c r="GI28" s="44"/>
      <c r="GJ28" s="44"/>
      <c r="GK28" s="44"/>
      <c r="GL28" s="44"/>
      <c r="GM28" s="44"/>
      <c r="GN28" s="44"/>
      <c r="GO28" s="44"/>
      <c r="GP28" s="44"/>
      <c r="GQ28" s="44"/>
      <c r="GR28" s="44"/>
      <c r="GS28" s="44"/>
      <c r="GT28" s="44"/>
      <c r="GU28" s="44"/>
      <c r="GV28" s="44"/>
      <c r="GW28" s="44"/>
      <c r="GX28" s="44"/>
      <c r="GY28" s="44"/>
      <c r="GZ28" s="44"/>
      <c r="HA28" s="44"/>
      <c r="HB28" s="44"/>
      <c r="HC28" s="44"/>
      <c r="HD28" s="44"/>
      <c r="HE28" s="44"/>
      <c r="HF28" s="44"/>
      <c r="HG28" s="44"/>
      <c r="HH28" s="44"/>
      <c r="HI28" s="44"/>
      <c r="HJ28" s="44"/>
      <c r="HK28" s="44"/>
      <c r="HL28" s="44"/>
      <c r="HM28" s="44"/>
      <c r="HN28" s="44"/>
      <c r="HO28" s="44"/>
      <c r="HP28" s="44"/>
      <c r="HQ28" s="44"/>
    </row>
    <row r="29" spans="1:225" s="3" customFormat="1" ht="30" hidden="1" customHeight="1" thickBot="1" x14ac:dyDescent="0.3">
      <c r="A29" s="58"/>
      <c r="B29" s="81" t="s">
        <v>0</v>
      </c>
      <c r="C29" s="75"/>
      <c r="D29" s="32"/>
      <c r="E29" s="67">
        <f>F27+1</f>
        <v>44380</v>
      </c>
      <c r="F29" s="67">
        <f>E29+4</f>
        <v>44384</v>
      </c>
      <c r="G29" s="17"/>
      <c r="H29" s="17">
        <f t="shared" si="202"/>
        <v>5</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44"/>
      <c r="EJ29" s="44"/>
      <c r="EK29" s="44"/>
      <c r="EL29" s="44"/>
      <c r="EM29" s="44"/>
      <c r="EN29" s="44"/>
      <c r="EO29" s="44"/>
      <c r="EP29" s="44"/>
      <c r="EQ29" s="44"/>
      <c r="ER29" s="44"/>
      <c r="ES29" s="44"/>
      <c r="ET29" s="44"/>
      <c r="EU29" s="44"/>
      <c r="EV29" s="44"/>
      <c r="EW29" s="44"/>
      <c r="EX29" s="44"/>
      <c r="EY29" s="44"/>
      <c r="EZ29" s="44"/>
      <c r="FA29" s="44"/>
      <c r="FB29" s="44"/>
      <c r="FC29" s="44"/>
      <c r="FD29" s="44"/>
      <c r="FE29" s="44"/>
      <c r="FF29" s="44"/>
      <c r="FG29" s="44"/>
      <c r="FH29" s="44"/>
      <c r="FI29" s="44"/>
      <c r="FJ29" s="44"/>
      <c r="FK29" s="44"/>
      <c r="FL29" s="44"/>
      <c r="FM29" s="44"/>
      <c r="FN29" s="44"/>
      <c r="FO29" s="44"/>
      <c r="FP29" s="44"/>
      <c r="FQ29" s="44"/>
      <c r="FR29" s="44"/>
      <c r="FS29" s="44"/>
      <c r="FT29" s="44"/>
      <c r="FU29" s="44"/>
      <c r="FV29" s="44"/>
      <c r="FW29" s="44"/>
      <c r="FX29" s="44"/>
      <c r="FY29" s="44"/>
      <c r="FZ29" s="44"/>
      <c r="GA29" s="44"/>
      <c r="GB29" s="44"/>
      <c r="GC29" s="44"/>
      <c r="GD29" s="44"/>
      <c r="GE29" s="44"/>
      <c r="GF29" s="44"/>
      <c r="GG29" s="44"/>
      <c r="GH29" s="44"/>
      <c r="GI29" s="44"/>
      <c r="GJ29" s="44"/>
      <c r="GK29" s="44"/>
      <c r="GL29" s="44"/>
      <c r="GM29" s="44"/>
      <c r="GN29" s="44"/>
      <c r="GO29" s="44"/>
      <c r="GP29" s="44"/>
      <c r="GQ29" s="44"/>
      <c r="GR29" s="44"/>
      <c r="GS29" s="44"/>
      <c r="GT29" s="44"/>
      <c r="GU29" s="44"/>
      <c r="GV29" s="44"/>
      <c r="GW29" s="44"/>
      <c r="GX29" s="44"/>
      <c r="GY29" s="44"/>
      <c r="GZ29" s="44"/>
      <c r="HA29" s="44"/>
      <c r="HB29" s="44"/>
      <c r="HC29" s="44"/>
      <c r="HD29" s="44"/>
      <c r="HE29" s="44"/>
      <c r="HF29" s="44"/>
      <c r="HG29" s="44"/>
      <c r="HH29" s="44"/>
      <c r="HI29" s="44"/>
      <c r="HJ29" s="44"/>
      <c r="HK29" s="44"/>
      <c r="HL29" s="44"/>
      <c r="HM29" s="44"/>
      <c r="HN29" s="44"/>
      <c r="HO29" s="44"/>
      <c r="HP29" s="44"/>
      <c r="HQ29" s="44"/>
    </row>
    <row r="30" spans="1:225" s="3" customFormat="1" ht="15.75" hidden="1" thickBot="1" x14ac:dyDescent="0.3">
      <c r="A30" s="58"/>
      <c r="B30" s="81" t="s">
        <v>1</v>
      </c>
      <c r="C30" s="75"/>
      <c r="D30" s="32"/>
      <c r="E30" s="67">
        <f>E27</f>
        <v>44357</v>
      </c>
      <c r="F30" s="67">
        <f>E30+4</f>
        <v>44361</v>
      </c>
      <c r="G30" s="17"/>
      <c r="H30" s="17">
        <f t="shared" si="202"/>
        <v>5</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c r="DO30" s="44"/>
      <c r="DP30" s="44"/>
      <c r="DQ30" s="44"/>
      <c r="DR30" s="44"/>
      <c r="DS30" s="44"/>
      <c r="DT30" s="44"/>
      <c r="DU30" s="44"/>
      <c r="DV30" s="44"/>
      <c r="DW30" s="44"/>
      <c r="DX30" s="44"/>
      <c r="DY30" s="44"/>
      <c r="DZ30" s="44"/>
      <c r="EA30" s="44"/>
      <c r="EB30" s="44"/>
      <c r="EC30" s="44"/>
      <c r="ED30" s="44"/>
      <c r="EE30" s="44"/>
      <c r="EF30" s="44"/>
      <c r="EG30" s="44"/>
      <c r="EH30" s="44"/>
      <c r="EI30" s="44"/>
      <c r="EJ30" s="44"/>
      <c r="EK30" s="44"/>
      <c r="EL30" s="44"/>
      <c r="EM30" s="44"/>
      <c r="EN30" s="44"/>
      <c r="EO30" s="44"/>
      <c r="EP30" s="44"/>
      <c r="EQ30" s="44"/>
      <c r="ER30" s="44"/>
      <c r="ES30" s="44"/>
      <c r="ET30" s="44"/>
      <c r="EU30" s="44"/>
      <c r="EV30" s="44"/>
      <c r="EW30" s="44"/>
      <c r="EX30" s="44"/>
      <c r="EY30" s="44"/>
      <c r="EZ30" s="44"/>
      <c r="FA30" s="44"/>
      <c r="FB30" s="44"/>
      <c r="FC30" s="44"/>
      <c r="FD30" s="44"/>
      <c r="FE30" s="44"/>
      <c r="FF30" s="44"/>
      <c r="FG30" s="44"/>
      <c r="FH30" s="44"/>
      <c r="FI30" s="44"/>
      <c r="FJ30" s="44"/>
      <c r="FK30" s="44"/>
      <c r="FL30" s="44"/>
      <c r="FM30" s="44"/>
      <c r="FN30" s="44"/>
      <c r="FO30" s="44"/>
      <c r="FP30" s="44"/>
      <c r="FQ30" s="44"/>
      <c r="FR30" s="44"/>
      <c r="FS30" s="44"/>
      <c r="FT30" s="44"/>
      <c r="FU30" s="44"/>
      <c r="FV30" s="44"/>
      <c r="FW30" s="44"/>
      <c r="FX30" s="44"/>
      <c r="FY30" s="44"/>
      <c r="FZ30" s="44"/>
      <c r="GA30" s="44"/>
      <c r="GB30" s="44"/>
      <c r="GC30" s="44"/>
      <c r="GD30" s="44"/>
      <c r="GE30" s="44"/>
      <c r="GF30" s="44"/>
      <c r="GG30" s="44"/>
      <c r="GH30" s="44"/>
      <c r="GI30" s="44"/>
      <c r="GJ30" s="44"/>
      <c r="GK30" s="44"/>
      <c r="GL30" s="44"/>
      <c r="GM30" s="44"/>
      <c r="GN30" s="44"/>
      <c r="GO30" s="44"/>
      <c r="GP30" s="44"/>
      <c r="GQ30" s="44"/>
      <c r="GR30" s="44"/>
      <c r="GS30" s="44"/>
      <c r="GT30" s="44"/>
      <c r="GU30" s="44"/>
      <c r="GV30" s="44"/>
      <c r="GW30" s="44"/>
      <c r="GX30" s="44"/>
      <c r="GY30" s="44"/>
      <c r="GZ30" s="44"/>
      <c r="HA30" s="44"/>
      <c r="HB30" s="44"/>
      <c r="HC30" s="44"/>
      <c r="HD30" s="44"/>
      <c r="HE30" s="44"/>
      <c r="HF30" s="44"/>
      <c r="HG30" s="44"/>
      <c r="HH30" s="44"/>
      <c r="HI30" s="44"/>
      <c r="HJ30" s="44"/>
      <c r="HK30" s="44"/>
      <c r="HL30" s="44"/>
      <c r="HM30" s="44"/>
      <c r="HN30" s="44"/>
      <c r="HO30" s="44"/>
      <c r="HP30" s="44"/>
      <c r="HQ30" s="44"/>
    </row>
    <row r="31" spans="1:225" s="3" customFormat="1" ht="30" customHeight="1" thickBot="1" x14ac:dyDescent="0.3">
      <c r="A31" s="58" t="s">
        <v>28</v>
      </c>
      <c r="B31" s="33" t="s">
        <v>53</v>
      </c>
      <c r="C31" s="76"/>
      <c r="D31" s="34"/>
      <c r="E31" s="35"/>
      <c r="F31" s="36"/>
      <c r="G31" s="17"/>
      <c r="H31" s="17" t="str">
        <f t="shared" si="202"/>
        <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c r="EJ31" s="44"/>
      <c r="EK31" s="44"/>
      <c r="EL31" s="44"/>
      <c r="EM31" s="44"/>
      <c r="EN31" s="44"/>
      <c r="EO31" s="44"/>
      <c r="EP31" s="44"/>
      <c r="EQ31" s="44"/>
      <c r="ER31" s="44"/>
      <c r="ES31" s="44"/>
      <c r="ET31" s="44"/>
      <c r="EU31" s="44"/>
      <c r="EV31" s="44"/>
      <c r="EW31" s="44"/>
      <c r="EX31" s="44"/>
      <c r="EY31" s="44"/>
      <c r="EZ31" s="44"/>
      <c r="FA31" s="44"/>
      <c r="FB31" s="44"/>
      <c r="FC31" s="44"/>
      <c r="FD31" s="44"/>
      <c r="FE31" s="44"/>
      <c r="FF31" s="44"/>
      <c r="FG31" s="44"/>
      <c r="FH31" s="44"/>
      <c r="FI31" s="44"/>
      <c r="FJ31" s="44"/>
      <c r="FK31" s="44"/>
      <c r="FL31" s="44"/>
      <c r="FM31" s="44"/>
      <c r="FN31" s="44"/>
      <c r="FO31" s="44"/>
      <c r="FP31" s="44"/>
      <c r="FQ31" s="44"/>
      <c r="FR31" s="44"/>
      <c r="FS31" s="44"/>
      <c r="FT31" s="44"/>
      <c r="FU31" s="44"/>
      <c r="FV31" s="44"/>
      <c r="FW31" s="44"/>
      <c r="FX31" s="44"/>
      <c r="FY31" s="44"/>
      <c r="FZ31" s="44"/>
      <c r="GA31" s="44"/>
      <c r="GB31" s="44"/>
      <c r="GC31" s="44"/>
      <c r="GD31" s="44"/>
      <c r="GE31" s="44"/>
      <c r="GF31" s="44"/>
      <c r="GG31" s="44"/>
      <c r="GH31" s="44"/>
      <c r="GI31" s="44"/>
      <c r="GJ31" s="44"/>
      <c r="GK31" s="44"/>
      <c r="GL31" s="44"/>
      <c r="GM31" s="44"/>
      <c r="GN31" s="44"/>
      <c r="GO31" s="44"/>
      <c r="GP31" s="44"/>
      <c r="GQ31" s="44"/>
      <c r="GR31" s="44"/>
      <c r="GS31" s="44"/>
      <c r="GT31" s="44"/>
      <c r="GU31" s="44"/>
      <c r="GV31" s="44"/>
      <c r="GW31" s="44"/>
      <c r="GX31" s="44"/>
      <c r="GY31" s="44"/>
      <c r="GZ31" s="44"/>
      <c r="HA31" s="44"/>
      <c r="HB31" s="44"/>
      <c r="HC31" s="44"/>
      <c r="HD31" s="44"/>
      <c r="HE31" s="44"/>
      <c r="HF31" s="44"/>
      <c r="HG31" s="44"/>
      <c r="HH31" s="44"/>
      <c r="HI31" s="44"/>
      <c r="HJ31" s="44"/>
      <c r="HK31" s="44"/>
      <c r="HL31" s="44"/>
      <c r="HM31" s="44"/>
      <c r="HN31" s="44"/>
      <c r="HO31" s="44"/>
      <c r="HP31" s="44"/>
      <c r="HQ31" s="44"/>
    </row>
    <row r="32" spans="1:225" s="3" customFormat="1" ht="30" customHeight="1" thickBot="1" x14ac:dyDescent="0.3">
      <c r="A32" s="58"/>
      <c r="B32" s="82" t="s">
        <v>61</v>
      </c>
      <c r="C32" s="77"/>
      <c r="D32" s="37">
        <v>0</v>
      </c>
      <c r="E32" s="68">
        <f>F27+3</f>
        <v>44382</v>
      </c>
      <c r="F32" s="68">
        <f>E32+14</f>
        <v>44396</v>
      </c>
      <c r="G32" s="17"/>
      <c r="H32" s="17">
        <f t="shared" si="202"/>
        <v>15</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c r="EB32" s="44"/>
      <c r="EC32" s="44"/>
      <c r="ED32" s="44"/>
      <c r="EE32" s="44"/>
      <c r="EF32" s="44"/>
      <c r="EG32" s="44"/>
      <c r="EH32" s="44"/>
      <c r="EI32" s="44"/>
      <c r="EJ32" s="44"/>
      <c r="EK32" s="44"/>
      <c r="EL32" s="44"/>
      <c r="EM32" s="44"/>
      <c r="EN32" s="44"/>
      <c r="EO32" s="44"/>
      <c r="EP32" s="44"/>
      <c r="EQ32" s="44"/>
      <c r="ER32" s="44"/>
      <c r="ES32" s="44"/>
      <c r="ET32" s="44"/>
      <c r="EU32" s="44"/>
      <c r="EV32" s="44"/>
      <c r="EW32" s="44"/>
      <c r="EX32" s="44"/>
      <c r="EY32" s="44"/>
      <c r="EZ32" s="44"/>
      <c r="FA32" s="44"/>
      <c r="FB32" s="44"/>
      <c r="FC32" s="44"/>
      <c r="FD32" s="44"/>
      <c r="FE32" s="44"/>
      <c r="FF32" s="44"/>
      <c r="FG32" s="44"/>
      <c r="FH32" s="44"/>
      <c r="FI32" s="44"/>
      <c r="FJ32" s="44"/>
      <c r="FK32" s="44"/>
      <c r="FL32" s="44"/>
      <c r="FM32" s="44"/>
      <c r="FN32" s="44"/>
      <c r="FO32" s="44"/>
      <c r="FP32" s="44"/>
      <c r="FQ32" s="44"/>
      <c r="FR32" s="44"/>
      <c r="FS32" s="44"/>
      <c r="FT32" s="44"/>
      <c r="FU32" s="44"/>
      <c r="FV32" s="44"/>
      <c r="FW32" s="44"/>
      <c r="FX32" s="44"/>
      <c r="FY32" s="44"/>
      <c r="FZ32" s="44"/>
      <c r="GA32" s="44"/>
      <c r="GB32" s="44"/>
      <c r="GC32" s="44"/>
      <c r="GD32" s="44"/>
      <c r="GE32" s="44"/>
      <c r="GF32" s="44"/>
      <c r="GG32" s="44"/>
      <c r="GH32" s="44"/>
      <c r="GI32" s="44"/>
      <c r="GJ32" s="44"/>
      <c r="GK32" s="44"/>
      <c r="GL32" s="44"/>
      <c r="GM32" s="44"/>
      <c r="GN32" s="44"/>
      <c r="GO32" s="44"/>
      <c r="GP32" s="44"/>
      <c r="GQ32" s="44"/>
      <c r="GR32" s="44"/>
      <c r="GS32" s="44"/>
      <c r="GT32" s="44"/>
      <c r="GU32" s="44"/>
      <c r="GV32" s="44"/>
      <c r="GW32" s="44"/>
      <c r="GX32" s="44"/>
      <c r="GY32" s="44"/>
      <c r="GZ32" s="44"/>
      <c r="HA32" s="44"/>
      <c r="HB32" s="44"/>
      <c r="HC32" s="44"/>
      <c r="HD32" s="44"/>
      <c r="HE32" s="44"/>
      <c r="HF32" s="44"/>
      <c r="HG32" s="44"/>
      <c r="HH32" s="44"/>
      <c r="HI32" s="44"/>
      <c r="HJ32" s="44"/>
      <c r="HK32" s="44"/>
      <c r="HL32" s="44"/>
      <c r="HM32" s="44"/>
      <c r="HN32" s="44"/>
      <c r="HO32" s="44"/>
      <c r="HP32" s="44"/>
      <c r="HQ32" s="44"/>
    </row>
    <row r="33" spans="1:225" s="3" customFormat="1" ht="30" customHeight="1" thickBot="1" x14ac:dyDescent="0.3">
      <c r="A33" s="58"/>
      <c r="B33" s="82" t="s">
        <v>63</v>
      </c>
      <c r="C33" s="77"/>
      <c r="D33" s="37">
        <v>0</v>
      </c>
      <c r="E33" s="68">
        <f>E32+7</f>
        <v>44389</v>
      </c>
      <c r="F33" s="68">
        <f>E33+21</f>
        <v>44410</v>
      </c>
      <c r="G33" s="17"/>
      <c r="H33" s="17">
        <f t="shared" si="202"/>
        <v>22</v>
      </c>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44"/>
      <c r="EJ33" s="44"/>
      <c r="EK33" s="44"/>
      <c r="EL33" s="44"/>
      <c r="EM33" s="44"/>
      <c r="EN33" s="44"/>
      <c r="EO33" s="44"/>
      <c r="EP33" s="44"/>
      <c r="EQ33" s="44"/>
      <c r="ER33" s="44"/>
      <c r="ES33" s="44"/>
      <c r="ET33" s="44"/>
      <c r="EU33" s="44"/>
      <c r="EV33" s="44"/>
      <c r="EW33" s="44"/>
      <c r="EX33" s="44"/>
      <c r="EY33" s="44"/>
      <c r="EZ33" s="44"/>
      <c r="FA33" s="44"/>
      <c r="FB33" s="44"/>
      <c r="FC33" s="44"/>
      <c r="FD33" s="44"/>
      <c r="FE33" s="44"/>
      <c r="FF33" s="44"/>
      <c r="FG33" s="44"/>
      <c r="FH33" s="44"/>
      <c r="FI33" s="44"/>
      <c r="FJ33" s="44"/>
      <c r="FK33" s="44"/>
      <c r="FL33" s="44"/>
      <c r="FM33" s="44"/>
      <c r="FN33" s="44"/>
      <c r="FO33" s="44"/>
      <c r="FP33" s="44"/>
      <c r="FQ33" s="44"/>
      <c r="FR33" s="44"/>
      <c r="FS33" s="44"/>
      <c r="FT33" s="44"/>
      <c r="FU33" s="44"/>
      <c r="FV33" s="44"/>
      <c r="FW33" s="44"/>
      <c r="FX33" s="44"/>
      <c r="FY33" s="44"/>
      <c r="FZ33" s="44"/>
      <c r="GA33" s="44"/>
      <c r="GB33" s="44"/>
      <c r="GC33" s="44"/>
      <c r="GD33" s="44"/>
      <c r="GE33" s="44"/>
      <c r="GF33" s="44"/>
      <c r="GG33" s="44"/>
      <c r="GH33" s="44"/>
      <c r="GI33" s="44"/>
      <c r="GJ33" s="44"/>
      <c r="GK33" s="44"/>
      <c r="GL33" s="44"/>
      <c r="GM33" s="44"/>
      <c r="GN33" s="44"/>
      <c r="GO33" s="44"/>
      <c r="GP33" s="44"/>
      <c r="GQ33" s="44"/>
      <c r="GR33" s="44"/>
      <c r="GS33" s="44"/>
      <c r="GT33" s="44"/>
      <c r="GU33" s="44"/>
      <c r="GV33" s="44"/>
      <c r="GW33" s="44"/>
      <c r="GX33" s="44"/>
      <c r="GY33" s="44"/>
      <c r="GZ33" s="44"/>
      <c r="HA33" s="44"/>
      <c r="HB33" s="44"/>
      <c r="HC33" s="44"/>
      <c r="HD33" s="44"/>
      <c r="HE33" s="44"/>
      <c r="HF33" s="44"/>
      <c r="HG33" s="44"/>
      <c r="HH33" s="44"/>
      <c r="HI33" s="44"/>
      <c r="HJ33" s="44"/>
      <c r="HK33" s="44"/>
      <c r="HL33" s="44"/>
      <c r="HM33" s="44"/>
      <c r="HN33" s="44"/>
      <c r="HO33" s="44"/>
      <c r="HP33" s="44"/>
      <c r="HQ33" s="44"/>
    </row>
    <row r="34" spans="1:225" s="3" customFormat="1" ht="30" customHeight="1" thickBot="1" x14ac:dyDescent="0.3">
      <c r="A34" s="58"/>
      <c r="B34" s="82" t="s">
        <v>64</v>
      </c>
      <c r="C34" s="77"/>
      <c r="D34" s="37">
        <v>0</v>
      </c>
      <c r="E34" s="68">
        <v>44411</v>
      </c>
      <c r="F34" s="68">
        <v>44428</v>
      </c>
      <c r="G34" s="17"/>
      <c r="H34" s="17">
        <f t="shared" si="202"/>
        <v>18</v>
      </c>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44"/>
      <c r="EJ34" s="44"/>
      <c r="EK34" s="44"/>
      <c r="EL34" s="44"/>
      <c r="EM34" s="44"/>
      <c r="EN34" s="44"/>
      <c r="EO34" s="44"/>
      <c r="EP34" s="44"/>
      <c r="EQ34" s="44"/>
      <c r="ER34" s="44"/>
      <c r="ES34" s="44"/>
      <c r="ET34" s="44"/>
      <c r="EU34" s="44"/>
      <c r="EV34" s="44"/>
      <c r="EW34" s="44"/>
      <c r="EX34" s="44"/>
      <c r="EY34" s="44"/>
      <c r="EZ34" s="44"/>
      <c r="FA34" s="44"/>
      <c r="FB34" s="44"/>
      <c r="FC34" s="44"/>
      <c r="FD34" s="44"/>
      <c r="FE34" s="44"/>
      <c r="FF34" s="44"/>
      <c r="FG34" s="44"/>
      <c r="FH34" s="44"/>
      <c r="FI34" s="44"/>
      <c r="FJ34" s="44"/>
      <c r="FK34" s="44"/>
      <c r="FL34" s="44"/>
      <c r="FM34" s="44"/>
      <c r="FN34" s="44"/>
      <c r="FO34" s="44"/>
      <c r="FP34" s="44"/>
      <c r="FQ34" s="44"/>
      <c r="FR34" s="44"/>
      <c r="FS34" s="44"/>
      <c r="FT34" s="44"/>
      <c r="FU34" s="44"/>
      <c r="FV34" s="44"/>
      <c r="FW34" s="44"/>
      <c r="FX34" s="44"/>
      <c r="FY34" s="44"/>
      <c r="FZ34" s="44"/>
      <c r="GA34" s="44"/>
      <c r="GB34" s="44"/>
      <c r="GC34" s="44"/>
      <c r="GD34" s="44"/>
      <c r="GE34" s="44"/>
      <c r="GF34" s="44"/>
      <c r="GG34" s="44"/>
      <c r="GH34" s="44"/>
      <c r="GI34" s="44"/>
      <c r="GJ34" s="44"/>
      <c r="GK34" s="44"/>
      <c r="GL34" s="44"/>
      <c r="GM34" s="44"/>
      <c r="GN34" s="44"/>
      <c r="GO34" s="44"/>
      <c r="GP34" s="44"/>
      <c r="GQ34" s="44"/>
      <c r="GR34" s="44"/>
      <c r="GS34" s="44"/>
      <c r="GT34" s="44"/>
      <c r="GU34" s="44"/>
      <c r="GV34" s="44"/>
      <c r="GW34" s="44"/>
      <c r="GX34" s="44"/>
      <c r="GY34" s="44"/>
      <c r="GZ34" s="44"/>
      <c r="HA34" s="44"/>
      <c r="HB34" s="44"/>
      <c r="HC34" s="44"/>
      <c r="HD34" s="44"/>
      <c r="HE34" s="44"/>
      <c r="HF34" s="44"/>
      <c r="HG34" s="44"/>
      <c r="HH34" s="44"/>
      <c r="HI34" s="44"/>
      <c r="HJ34" s="44"/>
      <c r="HK34" s="44"/>
      <c r="HL34" s="44"/>
      <c r="HM34" s="44"/>
      <c r="HN34" s="44"/>
      <c r="HO34" s="44"/>
      <c r="HP34" s="44"/>
      <c r="HQ34" s="44"/>
    </row>
    <row r="35" spans="1:225" s="3" customFormat="1" ht="30" hidden="1" customHeight="1" thickBot="1" x14ac:dyDescent="0.3">
      <c r="A35" s="58"/>
      <c r="B35" s="82" t="s">
        <v>0</v>
      </c>
      <c r="C35" s="77"/>
      <c r="D35" s="37"/>
      <c r="E35" s="68" t="s">
        <v>27</v>
      </c>
      <c r="F35" s="68" t="s">
        <v>27</v>
      </c>
      <c r="G35" s="17"/>
      <c r="H35" s="17" t="e">
        <f t="shared" si="202"/>
        <v>#VALUE!</v>
      </c>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4"/>
      <c r="GD35" s="44"/>
      <c r="GE35" s="44"/>
      <c r="GF35" s="44"/>
      <c r="GG35" s="44"/>
      <c r="GH35" s="44"/>
      <c r="GI35" s="44"/>
      <c r="GJ35" s="44"/>
      <c r="GK35" s="44"/>
      <c r="GL35" s="44"/>
      <c r="GM35" s="44"/>
      <c r="GN35" s="44"/>
      <c r="GO35" s="44"/>
      <c r="GP35" s="44"/>
      <c r="GQ35" s="44"/>
      <c r="GR35" s="44"/>
      <c r="GS35" s="44"/>
      <c r="GT35" s="44"/>
      <c r="GU35" s="44"/>
      <c r="GV35" s="44"/>
      <c r="GW35" s="44"/>
      <c r="GX35" s="44"/>
      <c r="GY35" s="44"/>
      <c r="GZ35" s="44"/>
      <c r="HA35" s="44"/>
      <c r="HB35" s="44"/>
      <c r="HC35" s="44"/>
      <c r="HD35" s="44"/>
      <c r="HE35" s="44"/>
      <c r="HF35" s="44"/>
      <c r="HG35" s="44"/>
      <c r="HH35" s="44"/>
      <c r="HI35" s="44"/>
      <c r="HJ35" s="44"/>
      <c r="HK35" s="44"/>
      <c r="HL35" s="44"/>
      <c r="HM35" s="44"/>
      <c r="HN35" s="44"/>
      <c r="HO35" s="44"/>
      <c r="HP35" s="44"/>
      <c r="HQ35" s="44"/>
    </row>
    <row r="36" spans="1:225" s="3" customFormat="1" ht="30" hidden="1" customHeight="1" thickBot="1" x14ac:dyDescent="0.3">
      <c r="A36" s="58"/>
      <c r="B36" s="82" t="s">
        <v>1</v>
      </c>
      <c r="C36" s="77"/>
      <c r="D36" s="37"/>
      <c r="E36" s="68" t="s">
        <v>27</v>
      </c>
      <c r="F36" s="68" t="s">
        <v>27</v>
      </c>
      <c r="G36" s="17"/>
      <c r="H36" s="17" t="e">
        <f t="shared" si="202"/>
        <v>#VALUE!</v>
      </c>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4"/>
      <c r="CG36" s="44"/>
      <c r="CH36" s="44"/>
      <c r="CI36" s="44"/>
      <c r="CJ36" s="44"/>
      <c r="CK36" s="44"/>
      <c r="CL36" s="44"/>
      <c r="CM36" s="44"/>
      <c r="CN36" s="44"/>
      <c r="CO36" s="44"/>
      <c r="CP36" s="44"/>
      <c r="CQ36" s="44"/>
      <c r="CR36" s="44"/>
      <c r="CS36" s="44"/>
      <c r="CT36" s="44"/>
      <c r="CU36" s="44"/>
      <c r="CV36" s="44"/>
      <c r="CW36" s="44"/>
      <c r="CX36" s="44"/>
      <c r="CY36" s="44"/>
      <c r="CZ36" s="44"/>
      <c r="DA36" s="44"/>
      <c r="DB36" s="44"/>
      <c r="DC36" s="44"/>
      <c r="DD36" s="44"/>
      <c r="DE36" s="44"/>
      <c r="DF36" s="44"/>
      <c r="DG36" s="44"/>
      <c r="DH36" s="44"/>
      <c r="DI36" s="44"/>
      <c r="DJ36" s="44"/>
      <c r="DK36" s="44"/>
      <c r="DL36" s="44"/>
      <c r="DM36" s="44"/>
      <c r="DN36" s="44"/>
      <c r="DO36" s="44"/>
      <c r="DP36" s="44"/>
      <c r="DQ36" s="44"/>
      <c r="DR36" s="44"/>
      <c r="DS36" s="44"/>
      <c r="DT36" s="44"/>
      <c r="DU36" s="44"/>
      <c r="DV36" s="44"/>
      <c r="DW36" s="44"/>
      <c r="DX36" s="44"/>
      <c r="DY36" s="44"/>
      <c r="DZ36" s="44"/>
      <c r="EA36" s="44"/>
      <c r="EB36" s="44"/>
      <c r="EC36" s="44"/>
      <c r="ED36" s="44"/>
      <c r="EE36" s="44"/>
      <c r="EF36" s="44"/>
      <c r="EG36" s="44"/>
      <c r="EH36" s="44"/>
      <c r="EI36" s="44"/>
      <c r="EJ36" s="44"/>
      <c r="EK36" s="44"/>
      <c r="EL36" s="44"/>
      <c r="EM36" s="44"/>
      <c r="EN36" s="44"/>
      <c r="EO36" s="44"/>
      <c r="EP36" s="44"/>
      <c r="EQ36" s="44"/>
      <c r="ER36" s="44"/>
      <c r="ES36" s="44"/>
      <c r="ET36" s="44"/>
      <c r="EU36" s="44"/>
      <c r="EV36" s="44"/>
      <c r="EW36" s="44"/>
      <c r="EX36" s="44"/>
      <c r="EY36" s="44"/>
      <c r="EZ36" s="44"/>
      <c r="FA36" s="44"/>
      <c r="FB36" s="44"/>
      <c r="FC36" s="44"/>
      <c r="FD36" s="44"/>
      <c r="FE36" s="44"/>
      <c r="FF36" s="44"/>
      <c r="FG36" s="44"/>
      <c r="FH36" s="44"/>
      <c r="FI36" s="44"/>
      <c r="FJ36" s="44"/>
      <c r="FK36" s="44"/>
      <c r="FL36" s="44"/>
      <c r="FM36" s="44"/>
      <c r="FN36" s="44"/>
      <c r="FO36" s="44"/>
      <c r="FP36" s="44"/>
      <c r="FQ36" s="44"/>
      <c r="FR36" s="44"/>
      <c r="FS36" s="44"/>
      <c r="FT36" s="44"/>
      <c r="FU36" s="44"/>
      <c r="FV36" s="44"/>
      <c r="FW36" s="44"/>
      <c r="FX36" s="44"/>
      <c r="FY36" s="44"/>
      <c r="FZ36" s="44"/>
      <c r="GA36" s="44"/>
      <c r="GB36" s="44"/>
      <c r="GC36" s="44"/>
      <c r="GD36" s="44"/>
      <c r="GE36" s="44"/>
      <c r="GF36" s="44"/>
      <c r="GG36" s="44"/>
      <c r="GH36" s="44"/>
      <c r="GI36" s="44"/>
      <c r="GJ36" s="44"/>
      <c r="GK36" s="44"/>
      <c r="GL36" s="44"/>
      <c r="GM36" s="44"/>
      <c r="GN36" s="44"/>
      <c r="GO36" s="44"/>
      <c r="GP36" s="44"/>
      <c r="GQ36" s="44"/>
      <c r="GR36" s="44"/>
      <c r="GS36" s="44"/>
      <c r="GT36" s="44"/>
      <c r="GU36" s="44"/>
      <c r="GV36" s="44"/>
      <c r="GW36" s="44"/>
      <c r="GX36" s="44"/>
      <c r="GY36" s="44"/>
      <c r="GZ36" s="44"/>
      <c r="HA36" s="44"/>
      <c r="HB36" s="44"/>
      <c r="HC36" s="44"/>
      <c r="HD36" s="44"/>
      <c r="HE36" s="44"/>
      <c r="HF36" s="44"/>
      <c r="HG36" s="44"/>
      <c r="HH36" s="44"/>
      <c r="HI36" s="44"/>
      <c r="HJ36" s="44"/>
      <c r="HK36" s="44"/>
      <c r="HL36" s="44"/>
      <c r="HM36" s="44"/>
      <c r="HN36" s="44"/>
      <c r="HO36" s="44"/>
      <c r="HP36" s="44"/>
      <c r="HQ36" s="44"/>
    </row>
    <row r="37" spans="1:225" s="3" customFormat="1" ht="30" customHeight="1" thickBot="1" x14ac:dyDescent="0.3">
      <c r="A37" s="58" t="s">
        <v>30</v>
      </c>
      <c r="B37" s="83"/>
      <c r="C37" s="78"/>
      <c r="D37" s="16"/>
      <c r="E37" s="69"/>
      <c r="F37" s="69"/>
      <c r="G37" s="17"/>
      <c r="H37" s="17" t="str">
        <f t="shared" si="202"/>
        <v/>
      </c>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c r="EM37" s="44"/>
      <c r="EN37" s="44"/>
      <c r="EO37" s="44"/>
      <c r="EP37" s="44"/>
      <c r="EQ37" s="44"/>
      <c r="ER37" s="44"/>
      <c r="ES37" s="44"/>
      <c r="ET37" s="44"/>
      <c r="EU37" s="44"/>
      <c r="EV37" s="44"/>
      <c r="EW37" s="44"/>
      <c r="EX37" s="44"/>
      <c r="EY37" s="44"/>
      <c r="EZ37" s="44"/>
      <c r="FA37" s="44"/>
      <c r="FB37" s="44"/>
      <c r="FC37" s="44"/>
      <c r="FD37" s="44"/>
      <c r="FE37" s="44"/>
      <c r="FF37" s="44"/>
      <c r="FG37" s="44"/>
      <c r="FH37" s="44"/>
      <c r="FI37" s="44"/>
      <c r="FJ37" s="44"/>
      <c r="FK37" s="44"/>
      <c r="FL37" s="44"/>
      <c r="FM37" s="44"/>
      <c r="FN37" s="44"/>
      <c r="FO37" s="44"/>
      <c r="FP37" s="44"/>
      <c r="FQ37" s="44"/>
      <c r="FR37" s="44"/>
      <c r="FS37" s="44"/>
      <c r="FT37" s="44"/>
      <c r="FU37" s="44"/>
      <c r="FV37" s="44"/>
      <c r="FW37" s="44"/>
      <c r="FX37" s="44"/>
      <c r="FY37" s="44"/>
      <c r="FZ37" s="44"/>
      <c r="GA37" s="44"/>
      <c r="GB37" s="44"/>
      <c r="GC37" s="44"/>
      <c r="GD37" s="44"/>
      <c r="GE37" s="44"/>
      <c r="GF37" s="44"/>
      <c r="GG37" s="44"/>
      <c r="GH37" s="44"/>
      <c r="GI37" s="44"/>
      <c r="GJ37" s="44"/>
      <c r="GK37" s="44"/>
      <c r="GL37" s="44"/>
      <c r="GM37" s="44"/>
      <c r="GN37" s="44"/>
      <c r="GO37" s="44"/>
      <c r="GP37" s="44"/>
      <c r="GQ37" s="44"/>
      <c r="GR37" s="44"/>
      <c r="GS37" s="44"/>
      <c r="GT37" s="44"/>
      <c r="GU37" s="44"/>
      <c r="GV37" s="44"/>
      <c r="GW37" s="44"/>
      <c r="GX37" s="44"/>
      <c r="GY37" s="44"/>
      <c r="GZ37" s="44"/>
      <c r="HA37" s="44"/>
      <c r="HB37" s="44"/>
      <c r="HC37" s="44"/>
      <c r="HD37" s="44"/>
      <c r="HE37" s="44"/>
      <c r="HF37" s="44"/>
      <c r="HG37" s="44"/>
      <c r="HH37" s="44"/>
      <c r="HI37" s="44"/>
      <c r="HJ37" s="44"/>
      <c r="HK37" s="44"/>
      <c r="HL37" s="44"/>
      <c r="HM37" s="44"/>
      <c r="HN37" s="44"/>
      <c r="HO37" s="44"/>
      <c r="HP37" s="44"/>
      <c r="HQ37" s="44"/>
    </row>
    <row r="38" spans="1:225" s="3" customFormat="1" ht="30" customHeight="1" thickBot="1" x14ac:dyDescent="0.3">
      <c r="A38" s="59" t="s">
        <v>29</v>
      </c>
      <c r="B38" s="38" t="s">
        <v>2</v>
      </c>
      <c r="C38" s="39"/>
      <c r="D38" s="40"/>
      <c r="E38" s="41"/>
      <c r="F38" s="42"/>
      <c r="G38" s="43"/>
      <c r="H38" s="43" t="str">
        <f t="shared" si="202"/>
        <v/>
      </c>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6"/>
      <c r="DX38" s="46"/>
      <c r="DY38" s="46"/>
      <c r="DZ38" s="46"/>
      <c r="EA38" s="46"/>
      <c r="EB38" s="46"/>
      <c r="EC38" s="46"/>
      <c r="ED38" s="46"/>
      <c r="EE38" s="46"/>
      <c r="EF38" s="46"/>
      <c r="EG38" s="46"/>
      <c r="EH38" s="46"/>
      <c r="EI38" s="46"/>
      <c r="EJ38" s="46"/>
      <c r="EK38" s="46"/>
      <c r="EL38" s="46"/>
      <c r="EM38" s="46"/>
      <c r="EN38" s="46"/>
      <c r="EO38" s="46"/>
      <c r="EP38" s="46"/>
      <c r="EQ38" s="46"/>
      <c r="ER38" s="46"/>
      <c r="ES38" s="46"/>
      <c r="ET38" s="46"/>
      <c r="EU38" s="46"/>
      <c r="EV38" s="46"/>
      <c r="EW38" s="46"/>
      <c r="EX38" s="46"/>
      <c r="EY38" s="46"/>
      <c r="EZ38" s="46"/>
      <c r="FA38" s="46"/>
      <c r="FB38" s="46"/>
      <c r="FC38" s="46"/>
      <c r="FD38" s="46"/>
      <c r="FE38" s="46"/>
      <c r="FF38" s="46"/>
      <c r="FG38" s="46"/>
      <c r="FH38" s="46"/>
      <c r="FI38" s="46"/>
      <c r="FJ38" s="46"/>
      <c r="FK38" s="46"/>
      <c r="FL38" s="46"/>
      <c r="FM38" s="46"/>
      <c r="FN38" s="46"/>
      <c r="FO38" s="46"/>
      <c r="FP38" s="46"/>
      <c r="FQ38" s="46"/>
      <c r="FR38" s="46"/>
      <c r="FS38" s="46"/>
      <c r="FT38" s="46"/>
      <c r="FU38" s="46"/>
      <c r="FV38" s="46"/>
      <c r="FW38" s="46"/>
      <c r="FX38" s="46"/>
      <c r="FY38" s="46"/>
      <c r="FZ38" s="46"/>
      <c r="GA38" s="46"/>
      <c r="GB38" s="46"/>
      <c r="GC38" s="46"/>
      <c r="GD38" s="46"/>
      <c r="GE38" s="46"/>
      <c r="GF38" s="46"/>
      <c r="GG38" s="46"/>
      <c r="GH38" s="46"/>
      <c r="GI38" s="46"/>
      <c r="GJ38" s="46"/>
      <c r="GK38" s="46"/>
      <c r="GL38" s="46"/>
      <c r="GM38" s="46"/>
      <c r="GN38" s="46"/>
      <c r="GO38" s="46"/>
      <c r="GP38" s="46"/>
      <c r="GQ38" s="46"/>
      <c r="GR38" s="46"/>
      <c r="GS38" s="46"/>
      <c r="GT38" s="46"/>
      <c r="GU38" s="46"/>
      <c r="GV38" s="46"/>
      <c r="GW38" s="46"/>
      <c r="GX38" s="46"/>
      <c r="GY38" s="46"/>
      <c r="GZ38" s="46"/>
      <c r="HA38" s="46"/>
      <c r="HB38" s="46"/>
      <c r="HC38" s="46"/>
      <c r="HD38" s="46"/>
      <c r="HE38" s="46"/>
      <c r="HF38" s="46"/>
      <c r="HG38" s="46"/>
      <c r="HH38" s="46"/>
      <c r="HI38" s="46"/>
      <c r="HJ38" s="46"/>
      <c r="HK38" s="46"/>
      <c r="HL38" s="46"/>
      <c r="HM38" s="46"/>
      <c r="HN38" s="46"/>
      <c r="HO38" s="46"/>
      <c r="HP38" s="46"/>
      <c r="HQ38" s="46"/>
    </row>
    <row r="39" spans="1:225" ht="30" customHeight="1" x14ac:dyDescent="0.25">
      <c r="G39" s="6"/>
    </row>
    <row r="40" spans="1:225" ht="30" customHeight="1" x14ac:dyDescent="0.25">
      <c r="C40" s="14"/>
      <c r="F40" s="60"/>
    </row>
    <row r="41" spans="1:225" ht="30" customHeight="1" x14ac:dyDescent="0.25">
      <c r="C41" s="15"/>
    </row>
  </sheetData>
  <mergeCells count="35">
    <mergeCell ref="GW4:HC4"/>
    <mergeCell ref="HD4:HJ4"/>
    <mergeCell ref="HK4:HQ4"/>
    <mergeCell ref="FN4:FT4"/>
    <mergeCell ref="FU4:GA4"/>
    <mergeCell ref="GB4:GH4"/>
    <mergeCell ref="GI4:GO4"/>
    <mergeCell ref="GP4:GV4"/>
    <mergeCell ref="EE4:EK4"/>
    <mergeCell ref="EL4:ER4"/>
    <mergeCell ref="ES4:EY4"/>
    <mergeCell ref="EZ4:FF4"/>
    <mergeCell ref="FG4:FM4"/>
    <mergeCell ref="CV4:DB4"/>
    <mergeCell ref="DC4:DI4"/>
    <mergeCell ref="DJ4:DP4"/>
    <mergeCell ref="DQ4:DW4"/>
    <mergeCell ref="DX4:ED4"/>
    <mergeCell ref="BM4:BS4"/>
    <mergeCell ref="BT4:BZ4"/>
    <mergeCell ref="CA4:CG4"/>
    <mergeCell ref="CH4:CN4"/>
    <mergeCell ref="CO4:CU4"/>
    <mergeCell ref="AY4:BE4"/>
    <mergeCell ref="BF4:BL4"/>
    <mergeCell ref="E3:F3"/>
    <mergeCell ref="I4:O4"/>
    <mergeCell ref="P4:V4"/>
    <mergeCell ref="W4:AC4"/>
    <mergeCell ref="AD4:AJ4"/>
    <mergeCell ref="C3:D3"/>
    <mergeCell ref="C4:D4"/>
    <mergeCell ref="B5:G5"/>
    <mergeCell ref="AK4:AQ4"/>
    <mergeCell ref="AR4:AX4"/>
  </mergeCells>
  <conditionalFormatting sqref="D7:D38">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HQ38">
    <cfRule type="expression" dxfId="2" priority="33">
      <formula>AND(TODAY()&gt;=I$5,TODAY()&lt;J$5)</formula>
    </cfRule>
  </conditionalFormatting>
  <conditionalFormatting sqref="I7:HQ38">
    <cfRule type="expression" dxfId="1" priority="27">
      <formula>AND(task_start&lt;=I$5,ROUNDDOWN((task_end-task_start+1)*task_progress,0)+task_start-1&gt;=I$5)</formula>
    </cfRule>
    <cfRule type="expression" dxfId="0" priority="28" stopIfTrue="1">
      <formula>AND(task_end&gt;=I$5,task_start&lt;J$5)</formula>
    </cfRule>
  </conditionalFormatting>
  <dataValidations disablePrompts="1"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6" zoomScaleNormal="100" workbookViewId="0"/>
  </sheetViews>
  <sheetFormatPr defaultRowHeight="12.75" x14ac:dyDescent="0.2"/>
  <cols>
    <col min="1" max="1" width="87.140625" style="48" customWidth="1"/>
    <col min="2" max="16384" width="9.140625" style="2"/>
  </cols>
  <sheetData>
    <row r="1" spans="1:2" ht="46.5" customHeight="1" x14ac:dyDescent="0.2"/>
    <row r="2" spans="1:2" s="50" customFormat="1" ht="15.75" x14ac:dyDescent="0.25">
      <c r="A2" s="49" t="s">
        <v>14</v>
      </c>
      <c r="B2" s="49"/>
    </row>
    <row r="3" spans="1:2" s="54" customFormat="1" ht="27" customHeight="1" x14ac:dyDescent="0.25">
      <c r="A3" s="55" t="s">
        <v>19</v>
      </c>
      <c r="B3" s="55"/>
    </row>
    <row r="4" spans="1:2" s="51" customFormat="1" ht="26.25" x14ac:dyDescent="0.4">
      <c r="A4" s="52" t="s">
        <v>13</v>
      </c>
    </row>
    <row r="5" spans="1:2" ht="74.099999999999994" customHeight="1" x14ac:dyDescent="0.2">
      <c r="A5" s="53" t="s">
        <v>22</v>
      </c>
    </row>
    <row r="6" spans="1:2" ht="26.25" customHeight="1" x14ac:dyDescent="0.2">
      <c r="A6" s="52" t="s">
        <v>25</v>
      </c>
    </row>
    <row r="7" spans="1:2" s="48" customFormat="1" ht="204.95" customHeight="1" x14ac:dyDescent="0.25">
      <c r="A7" s="57" t="s">
        <v>24</v>
      </c>
    </row>
    <row r="8" spans="1:2" s="51" customFormat="1" ht="26.25" x14ac:dyDescent="0.4">
      <c r="A8" s="52" t="s">
        <v>15</v>
      </c>
    </row>
    <row r="9" spans="1:2" ht="60" x14ac:dyDescent="0.2">
      <c r="A9" s="53" t="s">
        <v>23</v>
      </c>
    </row>
    <row r="10" spans="1:2" s="48" customFormat="1" ht="27.95" customHeight="1" x14ac:dyDescent="0.25">
      <c r="A10" s="56" t="s">
        <v>21</v>
      </c>
    </row>
    <row r="11" spans="1:2" s="51" customFormat="1" ht="26.25" x14ac:dyDescent="0.4">
      <c r="A11" s="52" t="s">
        <v>12</v>
      </c>
    </row>
    <row r="12" spans="1:2" ht="30" x14ac:dyDescent="0.2">
      <c r="A12" s="53" t="s">
        <v>20</v>
      </c>
    </row>
    <row r="13" spans="1:2" s="48" customFormat="1" ht="27.95" customHeight="1" x14ac:dyDescent="0.25">
      <c r="A13" s="56" t="s">
        <v>6</v>
      </c>
    </row>
    <row r="14" spans="1:2" s="51" customFormat="1" ht="26.25" x14ac:dyDescent="0.4">
      <c r="A14" s="52" t="s">
        <v>16</v>
      </c>
    </row>
    <row r="15" spans="1:2" ht="75" customHeight="1" x14ac:dyDescent="0.2">
      <c r="A15" s="53" t="s">
        <v>17</v>
      </c>
    </row>
    <row r="16" spans="1:2" ht="75" x14ac:dyDescent="0.2">
      <c r="A16" s="53" t="s">
        <v>18</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2021-04-08T23:29:41Z</dcterms:modified>
</cp:coreProperties>
</file>